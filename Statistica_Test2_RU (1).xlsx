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комп\Downloads\"/>
    </mc:Choice>
  </mc:AlternateContent>
  <bookViews>
    <workbookView xWindow="0" yWindow="0" windowWidth="16380" windowHeight="8196" tabRatio="500"/>
  </bookViews>
  <sheets>
    <sheet name="Задание I" sheetId="1" r:id="rId1"/>
    <sheet name="Задание II" sheetId="2" r:id="rId2"/>
    <sheet name="Задание III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3" i="3" l="1"/>
  <c r="G22" i="3"/>
  <c r="E22" i="3"/>
  <c r="F22" i="3" s="1"/>
  <c r="D22" i="3"/>
  <c r="C22" i="3"/>
  <c r="B22" i="3"/>
  <c r="A28" i="3" s="1"/>
  <c r="A22" i="3"/>
  <c r="E21" i="3"/>
  <c r="F21" i="3" s="1"/>
  <c r="D21" i="3"/>
  <c r="G21" i="3" s="1"/>
  <c r="C21" i="3"/>
  <c r="B21" i="3"/>
  <c r="A27" i="3" s="1"/>
  <c r="A21" i="3"/>
  <c r="E20" i="3"/>
  <c r="F20" i="3" s="1"/>
  <c r="D20" i="3"/>
  <c r="C20" i="3"/>
  <c r="G20" i="3" s="1"/>
  <c r="B20" i="3"/>
  <c r="A26" i="3" s="1"/>
  <c r="A20" i="3"/>
  <c r="C16" i="3"/>
  <c r="A16" i="3"/>
  <c r="E15" i="3"/>
  <c r="D15" i="3"/>
  <c r="C15" i="3"/>
  <c r="F15" i="3" s="1"/>
  <c r="B15" i="3"/>
  <c r="A15" i="3"/>
  <c r="E14" i="3"/>
  <c r="D14" i="3"/>
  <c r="F14" i="3" s="1"/>
  <c r="C14" i="3"/>
  <c r="B14" i="3"/>
  <c r="A14" i="3"/>
  <c r="E13" i="3"/>
  <c r="D13" i="3"/>
  <c r="C13" i="3"/>
  <c r="F13" i="3" s="1"/>
  <c r="B13" i="3"/>
  <c r="A13" i="3"/>
  <c r="E9" i="3"/>
  <c r="E23" i="3" s="1"/>
  <c r="F23" i="3" s="1"/>
  <c r="D9" i="3"/>
  <c r="D23" i="3" s="1"/>
  <c r="C9" i="3"/>
  <c r="B16" i="3" s="1"/>
  <c r="B9" i="3"/>
  <c r="C54" i="2"/>
  <c r="C53" i="2"/>
  <c r="C52" i="2"/>
  <c r="C51" i="2"/>
  <c r="C36" i="2"/>
  <c r="C35" i="2"/>
  <c r="C34" i="2"/>
  <c r="C33" i="2"/>
  <c r="C32" i="2"/>
  <c r="C31" i="2"/>
  <c r="C19" i="2"/>
  <c r="B15" i="2"/>
  <c r="B13" i="2"/>
  <c r="B54" i="2" s="1"/>
  <c r="B12" i="2"/>
  <c r="B11" i="2"/>
  <c r="C42" i="2" s="1"/>
  <c r="C51" i="1"/>
  <c r="C50" i="1"/>
  <c r="C48" i="1"/>
  <c r="C47" i="1"/>
  <c r="A41" i="1"/>
  <c r="A40" i="1"/>
  <c r="A39" i="1"/>
  <c r="A38" i="1"/>
  <c r="A37" i="1"/>
  <c r="A36" i="1"/>
  <c r="A35" i="1"/>
  <c r="A34" i="1"/>
  <c r="A33" i="1"/>
  <c r="A32" i="1"/>
  <c r="B24" i="1"/>
  <c r="B41" i="1" s="1"/>
  <c r="B23" i="1"/>
  <c r="B40" i="1" s="1"/>
  <c r="B22" i="1"/>
  <c r="F22" i="1" s="1"/>
  <c r="B21" i="1"/>
  <c r="F21" i="1" s="1"/>
  <c r="B20" i="1"/>
  <c r="B37" i="1" s="1"/>
  <c r="B19" i="1"/>
  <c r="B36" i="1" s="1"/>
  <c r="B18" i="1"/>
  <c r="F18" i="1" s="1"/>
  <c r="B17" i="1"/>
  <c r="F17" i="1" s="1"/>
  <c r="B16" i="1"/>
  <c r="B33" i="1" s="1"/>
  <c r="B15" i="1"/>
  <c r="G15" i="1" s="1"/>
  <c r="B11" i="1"/>
  <c r="C49" i="1" s="1"/>
  <c r="G22" i="1" l="1"/>
  <c r="G19" i="1"/>
  <c r="G23" i="1"/>
  <c r="G24" i="1"/>
  <c r="G21" i="1"/>
  <c r="B50" i="1"/>
  <c r="F19" i="2"/>
  <c r="G17" i="1"/>
  <c r="E16" i="3"/>
  <c r="B23" i="3"/>
  <c r="A29" i="3" s="1"/>
  <c r="B34" i="1"/>
  <c r="B38" i="1"/>
  <c r="D15" i="1"/>
  <c r="D17" i="1"/>
  <c r="D19" i="1"/>
  <c r="D21" i="1"/>
  <c r="D23" i="1"/>
  <c r="C41" i="2"/>
  <c r="C43" i="2"/>
  <c r="C23" i="3"/>
  <c r="G23" i="3" s="1"/>
  <c r="G16" i="1"/>
  <c r="G18" i="1"/>
  <c r="G20" i="1"/>
  <c r="B25" i="1"/>
  <c r="C16" i="1" s="1"/>
  <c r="E15" i="1"/>
  <c r="E17" i="1"/>
  <c r="E19" i="1"/>
  <c r="E21" i="1"/>
  <c r="E23" i="1"/>
  <c r="D16" i="3"/>
  <c r="F15" i="1"/>
  <c r="F19" i="1"/>
  <c r="F23" i="1"/>
  <c r="B35" i="1"/>
  <c r="B39" i="1"/>
  <c r="C14" i="2"/>
  <c r="B32" i="1"/>
  <c r="D16" i="1"/>
  <c r="D18" i="1"/>
  <c r="D20" i="1"/>
  <c r="D22" i="1"/>
  <c r="D24" i="1"/>
  <c r="D19" i="2"/>
  <c r="C20" i="2" s="1"/>
  <c r="E16" i="1"/>
  <c r="E18" i="1"/>
  <c r="E20" i="1"/>
  <c r="E22" i="1"/>
  <c r="E24" i="1"/>
  <c r="F16" i="1"/>
  <c r="F20" i="1"/>
  <c r="F24" i="1"/>
  <c r="C17" i="1" l="1"/>
  <c r="C22" i="1"/>
  <c r="C18" i="1"/>
  <c r="G25" i="1"/>
  <c r="B49" i="1" s="1"/>
  <c r="C24" i="1"/>
  <c r="C20" i="1"/>
  <c r="H19" i="2"/>
  <c r="D20" i="2"/>
  <c r="C21" i="2" s="1"/>
  <c r="E20" i="2"/>
  <c r="B20" i="2"/>
  <c r="B19" i="2"/>
  <c r="B51" i="1"/>
  <c r="A26" i="1"/>
  <c r="C21" i="1"/>
  <c r="E25" i="1"/>
  <c r="B47" i="1" s="1"/>
  <c r="C23" i="1"/>
  <c r="E19" i="2"/>
  <c r="I19" i="2" s="1"/>
  <c r="B42" i="1"/>
  <c r="C39" i="1" s="1"/>
  <c r="F25" i="1"/>
  <c r="B48" i="1" s="1"/>
  <c r="A53" i="1" s="1"/>
  <c r="C19" i="1"/>
  <c r="F16" i="3"/>
  <c r="C15" i="1"/>
  <c r="C25" i="1" s="1"/>
  <c r="C38" i="1" l="1"/>
  <c r="C40" i="1"/>
  <c r="C41" i="1"/>
  <c r="C36" i="1"/>
  <c r="C33" i="1"/>
  <c r="C37" i="1"/>
  <c r="C32" i="1"/>
  <c r="C34" i="1"/>
  <c r="F21" i="2"/>
  <c r="B21" i="2"/>
  <c r="D21" i="2"/>
  <c r="C22" i="2" s="1"/>
  <c r="C35" i="1"/>
  <c r="F20" i="2"/>
  <c r="I20" i="2" s="1"/>
  <c r="C42" i="1" l="1"/>
  <c r="H20" i="2"/>
  <c r="H21" i="2"/>
  <c r="D22" i="2"/>
  <c r="C23" i="2" s="1"/>
  <c r="E21" i="2"/>
  <c r="I21" i="2" s="1"/>
  <c r="D23" i="2" l="1"/>
  <c r="C24" i="2" s="1"/>
  <c r="B23" i="2"/>
  <c r="F22" i="2"/>
  <c r="E22" i="2"/>
  <c r="B22" i="2"/>
  <c r="I22" i="2" l="1"/>
  <c r="D24" i="2"/>
  <c r="C25" i="2" s="1"/>
  <c r="E24" i="2"/>
  <c r="B24" i="2"/>
  <c r="E23" i="2"/>
  <c r="F23" i="2"/>
  <c r="H22" i="2"/>
  <c r="H23" i="2" l="1"/>
  <c r="I23" i="2"/>
  <c r="F25" i="2"/>
  <c r="B25" i="2"/>
  <c r="E25" i="2"/>
  <c r="D25" i="2"/>
  <c r="F24" i="2"/>
  <c r="I25" i="2" l="1"/>
  <c r="I24" i="2"/>
  <c r="H25" i="2"/>
  <c r="B46" i="2"/>
  <c r="F26" i="2"/>
  <c r="H24" i="2"/>
  <c r="D41" i="2" s="1"/>
  <c r="G41" i="2" l="1"/>
  <c r="F41" i="2"/>
  <c r="E41" i="2"/>
  <c r="H41" i="2" s="1"/>
  <c r="B34" i="2" s="1"/>
  <c r="A27" i="2"/>
  <c r="G19" i="2"/>
  <c r="G21" i="2"/>
  <c r="G20" i="2"/>
  <c r="G22" i="2"/>
  <c r="G23" i="2"/>
  <c r="D46" i="2"/>
  <c r="C46" i="2"/>
  <c r="F46" i="2"/>
  <c r="E46" i="2"/>
  <c r="G25" i="2"/>
  <c r="I26" i="2"/>
  <c r="B31" i="2" s="1"/>
  <c r="D42" i="2"/>
  <c r="G24" i="2"/>
  <c r="D43" i="2"/>
  <c r="G26" i="2" l="1"/>
  <c r="G43" i="2"/>
  <c r="F43" i="2"/>
  <c r="E43" i="2"/>
  <c r="H43" i="2" s="1"/>
  <c r="B36" i="2" s="1"/>
  <c r="G46" i="2"/>
  <c r="B32" i="2" s="1"/>
  <c r="E42" i="2"/>
  <c r="G42" i="2"/>
  <c r="F42" i="2"/>
  <c r="J19" i="2"/>
  <c r="J20" i="2"/>
  <c r="J21" i="2"/>
  <c r="J22" i="2"/>
  <c r="J23" i="2"/>
  <c r="J24" i="2"/>
  <c r="J25" i="2"/>
  <c r="H42" i="2" l="1"/>
  <c r="J26" i="2"/>
  <c r="B51" i="2" s="1"/>
  <c r="B52" i="2" s="1"/>
  <c r="B53" i="2" s="1"/>
  <c r="A55" i="2" s="1"/>
  <c r="B35" i="2" l="1"/>
  <c r="B33" i="2"/>
</calcChain>
</file>

<file path=xl/sharedStrings.xml><?xml version="1.0" encoding="utf-8"?>
<sst xmlns="http://schemas.openxmlformats.org/spreadsheetml/2006/main" count="145" uniqueCount="119">
  <si>
    <t>Задание I – Статистические данные (70 записей)</t>
  </si>
  <si>
    <t>Жёлтые ячейки (синий шрифт) = ввод данных – меняйте их, всё остальное пересчитывается автоматически.</t>
  </si>
  <si>
    <t>Исходные данные</t>
  </si>
  <si>
    <t>строка 1</t>
  </si>
  <si>
    <t>строка 2</t>
  </si>
  <si>
    <t>строка 3</t>
  </si>
  <si>
    <t>строка 4</t>
  </si>
  <si>
    <t>строка 5</t>
  </si>
  <si>
    <t>n – кол-во записей</t>
  </si>
  <si>
    <t>1.1  Группировка данных по вариантам</t>
  </si>
  <si>
    <t>Вариант xi</t>
  </si>
  <si>
    <t>fi (абс. частота)</t>
  </si>
  <si>
    <t>wi (отн. частота)</t>
  </si>
  <si>
    <t>Fi ↑ (накопл. частота)</t>
  </si>
  <si>
    <t>xi·fi</t>
  </si>
  <si>
    <t>fi / xi</t>
  </si>
  <si>
    <t>xi²·fi</t>
  </si>
  <si>
    <t>Итого</t>
  </si>
  <si>
    <t>Варианты xi (столбец A) можно изменить, если появятся другие значения.</t>
  </si>
  <si>
    <t>1.3  Структурное распределение рабочих по категориям</t>
  </si>
  <si>
    <t>Категория</t>
  </si>
  <si>
    <t>Кол-во рабочих</t>
  </si>
  <si>
    <t>Структура (%)</t>
  </si>
  <si>
    <t>1.4  Средние: арифметическая, гармоническая, квадратическая, мода и медиана</t>
  </si>
  <si>
    <t>Показатель</t>
  </si>
  <si>
    <t>По таблице (взвешенная)</t>
  </si>
  <si>
    <t>Контроль – сырые данные</t>
  </si>
  <si>
    <t>Формула</t>
  </si>
  <si>
    <t>Средняя арифметическая</t>
  </si>
  <si>
    <t>x̄ = Σxi·fi / Σfi</t>
  </si>
  <si>
    <t>Средняя гармоническая</t>
  </si>
  <si>
    <t>x̄h = Σfi / Σ(fi/xi)</t>
  </si>
  <si>
    <t>Средняя квадратическая</t>
  </si>
  <si>
    <t>x̄p = √(Σxi²·fi / Σfi)</t>
  </si>
  <si>
    <t>Мода (Mo)</t>
  </si>
  <si>
    <t>Mo = вариант с максимальным fi</t>
  </si>
  <si>
    <t>Медиана (Me)</t>
  </si>
  <si>
    <t>Me = значение на позиции (n+1)/2</t>
  </si>
  <si>
    <t>Задание II – Стоимость основных фондов (тыс. лей) 50 предприятий</t>
  </si>
  <si>
    <t>n – кол-во предприятий</t>
  </si>
  <si>
    <t>x min</t>
  </si>
  <si>
    <t>x max</t>
  </si>
  <si>
    <t>k – кол-во интервалов</t>
  </si>
  <si>
    <t>← формула Стерджесса: k = 1 + 3,322·lg n ≈ 7 (в таблице ниже 7 интервалов)</t>
  </si>
  <si>
    <t>h – величина интервала</t>
  </si>
  <si>
    <t>h = (xmax − xmin) / k, округлено вверх</t>
  </si>
  <si>
    <t>2.1  Группировка данных по интервалам</t>
  </si>
  <si>
    <t>№</t>
  </si>
  <si>
    <t>Интервал</t>
  </si>
  <si>
    <t>Нижн. гр.</t>
  </si>
  <si>
    <t>Верхн. гр.</t>
  </si>
  <si>
    <t>Центр xi</t>
  </si>
  <si>
    <t>fi</t>
  </si>
  <si>
    <t>wi (%)</t>
  </si>
  <si>
    <t>Fi ↑</t>
  </si>
  <si>
    <t>fi·(xi − x̄)²</t>
  </si>
  <si>
    <t>2.3  Средняя арифметическая, мода, медиана, квартили</t>
  </si>
  <si>
    <t>По сгруппированному ряду</t>
  </si>
  <si>
    <t>Средняя арифметическая (x̄)</t>
  </si>
  <si>
    <t>Mo = x0 + h·(f0−f−1)/((f0−f−1)+(f0−f+1))</t>
  </si>
  <si>
    <t>Me = x0 + h·(n/2 − Fi−1)/f</t>
  </si>
  <si>
    <t>Квартиль Q1</t>
  </si>
  <si>
    <t>Q1 = x0 + h·(n/4 − Fi−1)/f</t>
  </si>
  <si>
    <t>Квартиль Q2</t>
  </si>
  <si>
    <t>Q2 = Me</t>
  </si>
  <si>
    <t>Квартиль Q3</t>
  </si>
  <si>
    <t>Q3 = x0 + h·(3n/4 − Fi−1)/f</t>
  </si>
  <si>
    <t>Контроль по сырым данным немного отличается от сгруппированного ряда – это нормально (группировка приближает значения).</t>
  </si>
  <si>
    <t>Вспомогательные расчёты (медианный, квартильные и модальный интервалы)</t>
  </si>
  <si>
    <t>p</t>
  </si>
  <si>
    <t>Позиция n·p</t>
  </si>
  <si>
    <t>№ интервала</t>
  </si>
  <si>
    <t>x0 (нижн. гр.)</t>
  </si>
  <si>
    <t>Fi−1 (накопл. предыдущая)</t>
  </si>
  <si>
    <t>f (интервала)</t>
  </si>
  <si>
    <t>Результат</t>
  </si>
  <si>
    <t>Q1</t>
  </si>
  <si>
    <t>Me = Q2</t>
  </si>
  <si>
    <t>Q3</t>
  </si>
  <si>
    <t>Мода</t>
  </si>
  <si>
    <t>№ модального интервала</t>
  </si>
  <si>
    <t>f0 (макс.)</t>
  </si>
  <si>
    <t>f−1 (предыдущий)</t>
  </si>
  <si>
    <t>f+1 (следующий)</t>
  </si>
  <si>
    <t>Результат Mo</t>
  </si>
  <si>
    <t>Mo</t>
  </si>
  <si>
    <t>2.4  Среднее квадратическое отклонение, дисперсия, коэффициент вариации</t>
  </si>
  <si>
    <t>Дисперсия (σ²)</t>
  </si>
  <si>
    <t>σ² = Σfi·(xi − x̄)² / Σfi</t>
  </si>
  <si>
    <t>Среднее квадратическое отклонение (σ)</t>
  </si>
  <si>
    <t>σ = √σ²</t>
  </si>
  <si>
    <t>Коэффициент вариации (V)</t>
  </si>
  <si>
    <t>V = σ / x̄ · 100%</t>
  </si>
  <si>
    <t>Размах вариации (R)</t>
  </si>
  <si>
    <t>R = xmax − xmin</t>
  </si>
  <si>
    <t>Задание III – Производство овощей и фруктов (тыс. т)</t>
  </si>
  <si>
    <t>Продукция, тыс. т</t>
  </si>
  <si>
    <t>План – текущий период</t>
  </si>
  <si>
    <t>Факт – текущий период</t>
  </si>
  <si>
    <t>План – следующий период</t>
  </si>
  <si>
    <t>Факт – следующий период</t>
  </si>
  <si>
    <t>Овощи</t>
  </si>
  <si>
    <t>Фрукты</t>
  </si>
  <si>
    <t>Виноград</t>
  </si>
  <si>
    <t>3.1  Возможные абсолютные величины (тыс. т)</t>
  </si>
  <si>
    <t>Продукция</t>
  </si>
  <si>
    <t>Абс. отклонение от плана – текущий период (Факт − План)</t>
  </si>
  <si>
    <t>Абс. отклонение от плана – следующий период (Факт − План)</t>
  </si>
  <si>
    <t>Абс. плановое задание (План след. − Факт тек.)</t>
  </si>
  <si>
    <t>Абс. динамика (Факт след. − Факт тек.)</t>
  </si>
  <si>
    <t>Контроль: D + C = E</t>
  </si>
  <si>
    <t>3.2  Возможные относительные величины</t>
  </si>
  <si>
    <t>Выполнение плана – текущий период (Факт/План)</t>
  </si>
  <si>
    <t>Выполнение плана – следующий период (Факт/План)</t>
  </si>
  <si>
    <t>Относит. плановое задание (План след./Факт тек.)</t>
  </si>
  <si>
    <t>Относит. динамика (Факт след./Факт тек.)</t>
  </si>
  <si>
    <t>Темп прироста (Динамика − 100%)</t>
  </si>
  <si>
    <t>Контроль: D × C = E</t>
  </si>
  <si>
    <t>3.3  Выводы (текст формируется автоматически из данных выше)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</si>
</sst>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0.0000"/>
    <numFmt numFmtId="166" formatCode="0.000"/>
    <numFmt numFmtId="167" formatCode="0.##"/>
    <numFmt numFmtId="168" formatCode="0.0"/>
  </numFmts>
  <fonts count="10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"/>
      <color rgb="FF595959"/>
      <name val="Arial"/>
      <charset val="1"/>
    </font>
    <font>
      <b/>
      <sz val="11"/>
      <color rgb="FF1F4E78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9"/>
      <color rgb="FFC00000"/>
      <name val="Arial"/>
      <charset val="1"/>
    </font>
    <font>
      <b/>
      <sz val="10"/>
      <color rgb="FFC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7" fillId="0" borderId="1" xfId="0" applyFont="1" applyBorder="1" applyAlignment="1">
      <alignment horizontal="left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4" fillId="2" borderId="1" xfId="0" applyFont="1" applyFill="1" applyBorder="1" applyAlignment="1">
      <alignment horizontal="left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67" fontId="4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7" fontId="7" fillId="0" borderId="1" xfId="0" applyNumberFormat="1" applyFont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4" fillId="2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5" fillId="3" borderId="1" xfId="0" applyFont="1" applyFill="1" applyBorder="1" applyAlignment="1">
      <alignment horizontal="left" vertical="center" wrapText="1"/>
    </xf>
    <xf numFmtId="168" fontId="5" fillId="3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8CD97"/>
      <rgbColor rgb="FF878787"/>
      <rgbColor rgb="FF93A9CE"/>
      <rgbColor rgb="FFAB4744"/>
      <rgbColor rgb="FFFFF2CC"/>
      <rgbColor rgb="FFF2F2F2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09493"/>
      <rgbColor rgb="FFA99BBD"/>
      <rgbColor rgb="FFFFCC99"/>
      <rgbColor rgb="FF4A7EBB"/>
      <rgbColor rgb="FF33CCCC"/>
      <rgbColor rgb="FF9BBB59"/>
      <rgbColor rgb="FFFFCC00"/>
      <rgbColor rgb="FFFF9900"/>
      <rgbColor rgb="FFFF6600"/>
      <rgbColor rgb="FF725990"/>
      <rgbColor rgb="FF999999"/>
      <rgbColor rgb="FF003366"/>
      <rgbColor rgb="FF4299B0"/>
      <rgbColor rgb="FF003300"/>
      <rgbColor rgb="FF333300"/>
      <rgbColor rgb="FF8064A2"/>
      <rgbColor rgb="FFC0504D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MD" sz="1800" b="1" strike="noStrike" spc="-1">
                <a:solidFill>
                  <a:srgbClr val="000000"/>
                </a:solidFill>
                <a:latin typeface="Calibri"/>
              </a:rPr>
              <a:t>1.2 Распределение по вариантам (</a:t>
            </a:r>
            <a:r>
              <a:rPr lang="ro-RO" sz="1800" b="1" strike="noStrike" spc="-1">
                <a:solidFill>
                  <a:srgbClr val="000000"/>
                </a:solidFill>
                <a:latin typeface="Calibri"/>
              </a:rPr>
              <a:t>fi)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'Задание I'!$B$14</c:f>
              <c:strCache>
                <c:ptCount val="1"/>
                <c:pt idx="0">
                  <c:v>fi (абс. частота)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o-RO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numRef>
              <c:f>'Задание I'!$A$15:$A$24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'Задание I'!$B$15:$B$24</c:f>
              <c:numCache>
                <c:formatCode>0</c:formatCode>
                <c:ptCount val="10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17</c:v>
                </c:pt>
                <c:pt idx="4">
                  <c:v>11</c:v>
                </c:pt>
                <c:pt idx="5">
                  <c:v>5</c:v>
                </c:pt>
                <c:pt idx="6">
                  <c:v>6</c:v>
                </c:pt>
                <c:pt idx="7">
                  <c:v>3</c:v>
                </c:pt>
                <c:pt idx="8">
                  <c:v>4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D-4289-B4E8-01B57FDDD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3828703"/>
        <c:axId val="94010140"/>
      </c:barChart>
      <c:catAx>
        <c:axId val="438287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MD" sz="1000" b="1" strike="noStrike" spc="-1">
                    <a:solidFill>
                      <a:srgbClr val="000000"/>
                    </a:solidFill>
                    <a:latin typeface="Calibri"/>
                  </a:rPr>
                  <a:t>Вариант </a:t>
                </a:r>
                <a:r>
                  <a:rPr lang="ro-RO" sz="1000" b="1" strike="noStrike" spc="-1">
                    <a:solidFill>
                      <a:srgbClr val="000000"/>
                    </a:solidFill>
                    <a:latin typeface="Calibri"/>
                  </a:rPr>
                  <a:t>xi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o-RO"/>
          </a:p>
        </c:txPr>
        <c:crossAx val="94010140"/>
        <c:crosses val="autoZero"/>
        <c:auto val="1"/>
        <c:lblAlgn val="ctr"/>
        <c:lblOffset val="100"/>
        <c:noMultiLvlLbl val="0"/>
      </c:catAx>
      <c:valAx>
        <c:axId val="940101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MD" sz="1000" b="1" strike="noStrike" spc="-1">
                    <a:solidFill>
                      <a:srgbClr val="000000"/>
                    </a:solidFill>
                    <a:latin typeface="Calibri"/>
                  </a:rPr>
                  <a:t>Частота </a:t>
                </a:r>
                <a:r>
                  <a:rPr lang="ro-RO" sz="1000" b="1" strike="noStrike" spc="-1">
                    <a:solidFill>
                      <a:srgbClr val="000000"/>
                    </a:solidFill>
                    <a:latin typeface="Calibri"/>
                  </a:rPr>
                  <a:t>fi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o-RO"/>
          </a:p>
        </c:txPr>
        <c:crossAx val="438287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1.3 Структура по категориям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5179-4B28-8220-4604BA78A993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179-4B28-8220-4604BA78A993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179-4B28-8220-4604BA78A993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179-4B28-8220-4604BA78A993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5179-4B28-8220-4604BA78A993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5179-4B28-8220-4604BA78A993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5179-4B28-8220-4604BA78A993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5179-4B28-8220-4604BA78A993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5179-4B28-8220-4604BA78A993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5179-4B28-8220-4604BA78A99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o-RO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5179-4B28-8220-4604BA78A99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o-RO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5179-4B28-8220-4604BA78A99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o-RO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5179-4B28-8220-4604BA78A99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o-RO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5179-4B28-8220-4604BA78A99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o-RO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5179-4B28-8220-4604BA78A993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o-RO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5179-4B28-8220-4604BA78A993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o-RO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5179-4B28-8220-4604BA78A993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o-RO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5179-4B28-8220-4604BA78A993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o-RO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5179-4B28-8220-4604BA78A993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o-RO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3-5179-4B28-8220-4604BA78A9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o-RO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'Задание I'!$A$32:$A$41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'Задание I'!$B$32:$B$41</c:f>
              <c:numCache>
                <c:formatCode>0</c:formatCode>
                <c:ptCount val="10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17</c:v>
                </c:pt>
                <c:pt idx="4">
                  <c:v>11</c:v>
                </c:pt>
                <c:pt idx="5">
                  <c:v>5</c:v>
                </c:pt>
                <c:pt idx="6">
                  <c:v>6</c:v>
                </c:pt>
                <c:pt idx="7">
                  <c:v>3</c:v>
                </c:pt>
                <c:pt idx="8">
                  <c:v>4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179-4B28-8220-4604BA78A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o-R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2.2 Гистограмма (fi по интервалам)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'Задание II'!$F$18</c:f>
              <c:strCache>
                <c:ptCount val="1"/>
                <c:pt idx="0">
                  <c:v>fi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o-RO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II'!$B$19:$B$25</c:f>
              <c:strCache>
                <c:ptCount val="7"/>
                <c:pt idx="0">
                  <c:v>30 – 83</c:v>
                </c:pt>
                <c:pt idx="1">
                  <c:v>83 – 136</c:v>
                </c:pt>
                <c:pt idx="2">
                  <c:v>136 – 189</c:v>
                </c:pt>
                <c:pt idx="3">
                  <c:v>189 – 242</c:v>
                </c:pt>
                <c:pt idx="4">
                  <c:v>242 – 295</c:v>
                </c:pt>
                <c:pt idx="5">
                  <c:v>295 – 348</c:v>
                </c:pt>
                <c:pt idx="6">
                  <c:v>348 – 401</c:v>
                </c:pt>
              </c:strCache>
            </c:strRef>
          </c:cat>
          <c:val>
            <c:numRef>
              <c:f>'Задание II'!$F$19:$F$25</c:f>
              <c:numCache>
                <c:formatCode>0</c:formatCode>
                <c:ptCount val="7"/>
                <c:pt idx="0">
                  <c:v>6</c:v>
                </c:pt>
                <c:pt idx="1">
                  <c:v>10</c:v>
                </c:pt>
                <c:pt idx="2">
                  <c:v>7</c:v>
                </c:pt>
                <c:pt idx="3">
                  <c:v>12</c:v>
                </c:pt>
                <c:pt idx="4">
                  <c:v>8</c:v>
                </c:pt>
                <c:pt idx="5">
                  <c:v>2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7-4D27-95E8-579531EE4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axId val="67321673"/>
        <c:axId val="92985687"/>
      </c:barChart>
      <c:catAx>
        <c:axId val="673216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Стоимость основных фондов (тыс. лей)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o-RO"/>
          </a:p>
        </c:txPr>
        <c:crossAx val="92985687"/>
        <c:crosses val="autoZero"/>
        <c:auto val="1"/>
        <c:lblAlgn val="ctr"/>
        <c:lblOffset val="100"/>
        <c:noMultiLvlLbl val="0"/>
      </c:catAx>
      <c:valAx>
        <c:axId val="929856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Кол-во предприятий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o-RO"/>
          </a:p>
        </c:txPr>
        <c:crossAx val="673216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Кумулята (Fi ↑)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'Задание II'!$H$18</c:f>
              <c:strCache>
                <c:ptCount val="1"/>
                <c:pt idx="0">
                  <c:v>Fi ↑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o-R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II'!$B$19:$B$25</c:f>
              <c:strCache>
                <c:ptCount val="7"/>
                <c:pt idx="0">
                  <c:v>30 – 83</c:v>
                </c:pt>
                <c:pt idx="1">
                  <c:v>83 – 136</c:v>
                </c:pt>
                <c:pt idx="2">
                  <c:v>136 – 189</c:v>
                </c:pt>
                <c:pt idx="3">
                  <c:v>189 – 242</c:v>
                </c:pt>
                <c:pt idx="4">
                  <c:v>242 – 295</c:v>
                </c:pt>
                <c:pt idx="5">
                  <c:v>295 – 348</c:v>
                </c:pt>
                <c:pt idx="6">
                  <c:v>348 – 401</c:v>
                </c:pt>
              </c:strCache>
            </c:strRef>
          </c:cat>
          <c:val>
            <c:numRef>
              <c:f>'Задание II'!$H$19:$H$25</c:f>
              <c:numCache>
                <c:formatCode>0</c:formatCode>
                <c:ptCount val="7"/>
                <c:pt idx="0">
                  <c:v>6</c:v>
                </c:pt>
                <c:pt idx="1">
                  <c:v>16</c:v>
                </c:pt>
                <c:pt idx="2">
                  <c:v>23</c:v>
                </c:pt>
                <c:pt idx="3">
                  <c:v>35</c:v>
                </c:pt>
                <c:pt idx="4">
                  <c:v>43</c:v>
                </c:pt>
                <c:pt idx="5">
                  <c:v>45</c:v>
                </c:pt>
                <c:pt idx="6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90-45CD-B1F4-C8FBCE4D6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4363014"/>
        <c:axId val="6688273"/>
      </c:lineChart>
      <c:catAx>
        <c:axId val="543630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o-RO"/>
          </a:p>
        </c:txPr>
        <c:crossAx val="6688273"/>
        <c:crosses val="autoZero"/>
        <c:auto val="1"/>
        <c:lblAlgn val="ctr"/>
        <c:lblOffset val="100"/>
        <c:noMultiLvlLbl val="0"/>
      </c:catAx>
      <c:valAx>
        <c:axId val="66882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Накопленная частота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o-RO"/>
          </a:p>
        </c:txPr>
        <c:crossAx val="543630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План и факт (тыс. т)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'Задание III'!$B$5</c:f>
              <c:strCache>
                <c:ptCount val="1"/>
                <c:pt idx="0">
                  <c:v>План – текущий период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o-R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III'!$A$6:$A$8</c:f>
              <c:strCache>
                <c:ptCount val="3"/>
                <c:pt idx="0">
                  <c:v>Овощи</c:v>
                </c:pt>
                <c:pt idx="1">
                  <c:v>Фрукты</c:v>
                </c:pt>
                <c:pt idx="2">
                  <c:v>Виноград</c:v>
                </c:pt>
              </c:strCache>
            </c:strRef>
          </c:cat>
          <c:val>
            <c:numRef>
              <c:f>'Задание III'!$B$6:$B$8</c:f>
              <c:numCache>
                <c:formatCode>0.0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1-4015-90CB-7B5855F5098E}"/>
            </c:ext>
          </c:extLst>
        </c:ser>
        <c:ser>
          <c:idx val="1"/>
          <c:order val="1"/>
          <c:tx>
            <c:strRef>
              <c:f>'Задание III'!$C$5</c:f>
              <c:strCache>
                <c:ptCount val="1"/>
                <c:pt idx="0">
                  <c:v>Факт – текущий период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o-R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III'!$A$6:$A$8</c:f>
              <c:strCache>
                <c:ptCount val="3"/>
                <c:pt idx="0">
                  <c:v>Овощи</c:v>
                </c:pt>
                <c:pt idx="1">
                  <c:v>Фрукты</c:v>
                </c:pt>
                <c:pt idx="2">
                  <c:v>Виноград</c:v>
                </c:pt>
              </c:strCache>
            </c:strRef>
          </c:cat>
          <c:val>
            <c:numRef>
              <c:f>'Задание III'!$C$6:$C$8</c:f>
              <c:numCache>
                <c:formatCode>0.0</c:formatCode>
                <c:ptCount val="3"/>
                <c:pt idx="0">
                  <c:v>18</c:v>
                </c:pt>
                <c:pt idx="1">
                  <c:v>42</c:v>
                </c:pt>
                <c:pt idx="2">
                  <c:v>55.4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91-4015-90CB-7B5855F5098E}"/>
            </c:ext>
          </c:extLst>
        </c:ser>
        <c:ser>
          <c:idx val="2"/>
          <c:order val="2"/>
          <c:tx>
            <c:strRef>
              <c:f>'Задание III'!$D$5</c:f>
              <c:strCache>
                <c:ptCount val="1"/>
                <c:pt idx="0">
                  <c:v>План – следующий период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o-R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III'!$A$6:$A$8</c:f>
              <c:strCache>
                <c:ptCount val="3"/>
                <c:pt idx="0">
                  <c:v>Овощи</c:v>
                </c:pt>
                <c:pt idx="1">
                  <c:v>Фрукты</c:v>
                </c:pt>
                <c:pt idx="2">
                  <c:v>Виноград</c:v>
                </c:pt>
              </c:strCache>
            </c:strRef>
          </c:cat>
          <c:val>
            <c:numRef>
              <c:f>'Задание III'!$D$6:$D$8</c:f>
              <c:numCache>
                <c:formatCode>0.0</c:formatCode>
                <c:ptCount val="3"/>
                <c:pt idx="0">
                  <c:v>28.7</c:v>
                </c:pt>
                <c:pt idx="1">
                  <c:v>48</c:v>
                </c:pt>
                <c:pt idx="2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91-4015-90CB-7B5855F5098E}"/>
            </c:ext>
          </c:extLst>
        </c:ser>
        <c:ser>
          <c:idx val="3"/>
          <c:order val="3"/>
          <c:tx>
            <c:strRef>
              <c:f>'Задание III'!$E$5</c:f>
              <c:strCache>
                <c:ptCount val="1"/>
                <c:pt idx="0">
                  <c:v>Факт – следующий период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o-R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III'!$A$6:$A$8</c:f>
              <c:strCache>
                <c:ptCount val="3"/>
                <c:pt idx="0">
                  <c:v>Овощи</c:v>
                </c:pt>
                <c:pt idx="1">
                  <c:v>Фрукты</c:v>
                </c:pt>
                <c:pt idx="2">
                  <c:v>Виноград</c:v>
                </c:pt>
              </c:strCache>
            </c:strRef>
          </c:cat>
          <c:val>
            <c:numRef>
              <c:f>'Задание III'!$E$6:$E$8</c:f>
              <c:numCache>
                <c:formatCode>0.0</c:formatCode>
                <c:ptCount val="3"/>
                <c:pt idx="0">
                  <c:v>28</c:v>
                </c:pt>
                <c:pt idx="1">
                  <c:v>49</c:v>
                </c:pt>
                <c:pt idx="2">
                  <c:v>57.9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91-4015-90CB-7B5855F50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417714"/>
        <c:axId val="51370606"/>
      </c:barChart>
      <c:catAx>
        <c:axId val="894177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o-RO"/>
          </a:p>
        </c:txPr>
        <c:crossAx val="51370606"/>
        <c:crosses val="autoZero"/>
        <c:auto val="1"/>
        <c:lblAlgn val="ctr"/>
        <c:lblOffset val="100"/>
        <c:noMultiLvlLbl val="0"/>
      </c:catAx>
      <c:valAx>
        <c:axId val="513706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тыс. т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o-RO"/>
          </a:p>
        </c:txPr>
        <c:crossAx val="894177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o-R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Абсолютные показатели (тыс. т)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'Задание III'!$B$12</c:f>
              <c:strCache>
                <c:ptCount val="1"/>
                <c:pt idx="0">
                  <c:v>Абс. отклонение от плана – текущий период (Факт − План)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o-R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III'!$A$13:$A$15</c:f>
              <c:strCache>
                <c:ptCount val="3"/>
                <c:pt idx="0">
                  <c:v>Овощи</c:v>
                </c:pt>
                <c:pt idx="1">
                  <c:v>Фрукты</c:v>
                </c:pt>
                <c:pt idx="2">
                  <c:v>Виноград</c:v>
                </c:pt>
              </c:strCache>
            </c:strRef>
          </c:cat>
          <c:val>
            <c:numRef>
              <c:f>'Задание III'!$B$13:$B$15</c:f>
              <c:numCache>
                <c:formatCode>0.00</c:formatCode>
                <c:ptCount val="3"/>
                <c:pt idx="0">
                  <c:v>-2</c:v>
                </c:pt>
                <c:pt idx="1">
                  <c:v>2</c:v>
                </c:pt>
                <c:pt idx="2">
                  <c:v>5.3999999999999986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0E-43F7-BE85-4CA9E22764F2}"/>
            </c:ext>
          </c:extLst>
        </c:ser>
        <c:ser>
          <c:idx val="1"/>
          <c:order val="1"/>
          <c:tx>
            <c:strRef>
              <c:f>'Задание III'!$C$12</c:f>
              <c:strCache>
                <c:ptCount val="1"/>
                <c:pt idx="0">
                  <c:v>Абс. отклонение от плана – следующий период (Факт − План)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o-R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III'!$A$13:$A$15</c:f>
              <c:strCache>
                <c:ptCount val="3"/>
                <c:pt idx="0">
                  <c:v>Овощи</c:v>
                </c:pt>
                <c:pt idx="1">
                  <c:v>Фрукты</c:v>
                </c:pt>
                <c:pt idx="2">
                  <c:v>Виноград</c:v>
                </c:pt>
              </c:strCache>
            </c:strRef>
          </c:cat>
          <c:val>
            <c:numRef>
              <c:f>'Задание III'!$C$13:$C$15</c:f>
              <c:numCache>
                <c:formatCode>0.00</c:formatCode>
                <c:ptCount val="3"/>
                <c:pt idx="0">
                  <c:v>-0.69999999999999929</c:v>
                </c:pt>
                <c:pt idx="1">
                  <c:v>1</c:v>
                </c:pt>
                <c:pt idx="2">
                  <c:v>1.8999999999999986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0E-43F7-BE85-4CA9E22764F2}"/>
            </c:ext>
          </c:extLst>
        </c:ser>
        <c:ser>
          <c:idx val="2"/>
          <c:order val="2"/>
          <c:tx>
            <c:strRef>
              <c:f>'Задание III'!$D$12</c:f>
              <c:strCache>
                <c:ptCount val="1"/>
                <c:pt idx="0">
                  <c:v>Абс. плановое задание (План след. − Факт тек.)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o-R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III'!$A$13:$A$15</c:f>
              <c:strCache>
                <c:ptCount val="3"/>
                <c:pt idx="0">
                  <c:v>Овощи</c:v>
                </c:pt>
                <c:pt idx="1">
                  <c:v>Фрукты</c:v>
                </c:pt>
                <c:pt idx="2">
                  <c:v>Виноград</c:v>
                </c:pt>
              </c:strCache>
            </c:strRef>
          </c:cat>
          <c:val>
            <c:numRef>
              <c:f>'Задание III'!$D$13:$D$15</c:f>
              <c:numCache>
                <c:formatCode>0.00</c:formatCode>
                <c:ptCount val="3"/>
                <c:pt idx="0">
                  <c:v>10.7</c:v>
                </c:pt>
                <c:pt idx="1">
                  <c:v>6</c:v>
                </c:pt>
                <c:pt idx="2">
                  <c:v>0.60000000000000142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0E-43F7-BE85-4CA9E22764F2}"/>
            </c:ext>
          </c:extLst>
        </c:ser>
        <c:ser>
          <c:idx val="3"/>
          <c:order val="3"/>
          <c:tx>
            <c:strRef>
              <c:f>'Задание III'!$E$12</c:f>
              <c:strCache>
                <c:ptCount val="1"/>
                <c:pt idx="0">
                  <c:v>Абс. динамика (Факт след. − Факт тек.)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o-R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III'!$A$13:$A$15</c:f>
              <c:strCache>
                <c:ptCount val="3"/>
                <c:pt idx="0">
                  <c:v>Овощи</c:v>
                </c:pt>
                <c:pt idx="1">
                  <c:v>Фрукты</c:v>
                </c:pt>
                <c:pt idx="2">
                  <c:v>Виноград</c:v>
                </c:pt>
              </c:strCache>
            </c:strRef>
          </c:cat>
          <c:val>
            <c:numRef>
              <c:f>'Задание III'!$E$13:$E$15</c:f>
              <c:numCache>
                <c:formatCode>0.00</c:formatCode>
                <c:ptCount val="3"/>
                <c:pt idx="0">
                  <c:v>10</c:v>
                </c:pt>
                <c:pt idx="1">
                  <c:v>7</c:v>
                </c:pt>
                <c:pt idx="2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0E-43F7-BE85-4CA9E2276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350744"/>
        <c:axId val="39071714"/>
      </c:barChart>
      <c:catAx>
        <c:axId val="47350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o-RO"/>
          </a:p>
        </c:txPr>
        <c:crossAx val="39071714"/>
        <c:crosses val="autoZero"/>
        <c:auto val="1"/>
        <c:lblAlgn val="ctr"/>
        <c:lblOffset val="100"/>
        <c:noMultiLvlLbl val="0"/>
      </c:catAx>
      <c:valAx>
        <c:axId val="390717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o-RO"/>
          </a:p>
        </c:txPr>
        <c:crossAx val="473507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o-R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Относительные показатели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'Задание III'!$B$19</c:f>
              <c:strCache>
                <c:ptCount val="1"/>
                <c:pt idx="0">
                  <c:v>Выполнение плана – текущий период (Факт/План)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o-R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III'!$A$20:$A$22</c:f>
              <c:strCache>
                <c:ptCount val="3"/>
                <c:pt idx="0">
                  <c:v>Овощи</c:v>
                </c:pt>
                <c:pt idx="1">
                  <c:v>Фрукты</c:v>
                </c:pt>
                <c:pt idx="2">
                  <c:v>Виноград</c:v>
                </c:pt>
              </c:strCache>
            </c:strRef>
          </c:cat>
          <c:val>
            <c:numRef>
              <c:f>'Задание III'!$B$20:$B$22</c:f>
              <c:numCache>
                <c:formatCode>0.0%</c:formatCode>
                <c:ptCount val="3"/>
                <c:pt idx="0">
                  <c:v>0.9</c:v>
                </c:pt>
                <c:pt idx="1">
                  <c:v>1.05</c:v>
                </c:pt>
                <c:pt idx="2">
                  <c:v>1.1079999999999999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B-418B-9EAF-4285E6A3DFF0}"/>
            </c:ext>
          </c:extLst>
        </c:ser>
        <c:ser>
          <c:idx val="1"/>
          <c:order val="1"/>
          <c:tx>
            <c:strRef>
              <c:f>'Задание III'!$C$19</c:f>
              <c:strCache>
                <c:ptCount val="1"/>
                <c:pt idx="0">
                  <c:v>Выполнение плана – следующий период (Факт/План)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o-R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III'!$A$20:$A$22</c:f>
              <c:strCache>
                <c:ptCount val="3"/>
                <c:pt idx="0">
                  <c:v>Овощи</c:v>
                </c:pt>
                <c:pt idx="1">
                  <c:v>Фрукты</c:v>
                </c:pt>
                <c:pt idx="2">
                  <c:v>Виноград</c:v>
                </c:pt>
              </c:strCache>
            </c:strRef>
          </c:cat>
          <c:val>
            <c:numRef>
              <c:f>'Задание III'!$C$20:$C$22</c:f>
              <c:numCache>
                <c:formatCode>0.0%</c:formatCode>
                <c:ptCount val="3"/>
                <c:pt idx="0">
                  <c:v>0.97560975609756095</c:v>
                </c:pt>
                <c:pt idx="1">
                  <c:v>1.0208333333333333</c:v>
                </c:pt>
                <c:pt idx="2">
                  <c:v>1.0339285714285713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0B-418B-9EAF-4285E6A3DFF0}"/>
            </c:ext>
          </c:extLst>
        </c:ser>
        <c:ser>
          <c:idx val="2"/>
          <c:order val="2"/>
          <c:tx>
            <c:strRef>
              <c:f>'Задание III'!$D$19</c:f>
              <c:strCache>
                <c:ptCount val="1"/>
                <c:pt idx="0">
                  <c:v>Относит. плановое задание (План след./Факт тек.)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o-R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III'!$A$20:$A$22</c:f>
              <c:strCache>
                <c:ptCount val="3"/>
                <c:pt idx="0">
                  <c:v>Овощи</c:v>
                </c:pt>
                <c:pt idx="1">
                  <c:v>Фрукты</c:v>
                </c:pt>
                <c:pt idx="2">
                  <c:v>Виноград</c:v>
                </c:pt>
              </c:strCache>
            </c:strRef>
          </c:cat>
          <c:val>
            <c:numRef>
              <c:f>'Задание III'!$D$20:$D$22</c:f>
              <c:numCache>
                <c:formatCode>0.0%</c:formatCode>
                <c:ptCount val="3"/>
                <c:pt idx="0">
                  <c:v>1.5944444444444443</c:v>
                </c:pt>
                <c:pt idx="1">
                  <c:v>1.1428571428571428</c:v>
                </c:pt>
                <c:pt idx="2">
                  <c:v>1.0108303249097472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0B-418B-9EAF-4285E6A3DFF0}"/>
            </c:ext>
          </c:extLst>
        </c:ser>
        <c:ser>
          <c:idx val="3"/>
          <c:order val="3"/>
          <c:tx>
            <c:strRef>
              <c:f>'Задание III'!$E$19</c:f>
              <c:strCache>
                <c:ptCount val="1"/>
                <c:pt idx="0">
                  <c:v>Относит. динамика (Факт след./Факт тек.)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o-R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III'!$A$20:$A$22</c:f>
              <c:strCache>
                <c:ptCount val="3"/>
                <c:pt idx="0">
                  <c:v>Овощи</c:v>
                </c:pt>
                <c:pt idx="1">
                  <c:v>Фрукты</c:v>
                </c:pt>
                <c:pt idx="2">
                  <c:v>Виноград</c:v>
                </c:pt>
              </c:strCache>
            </c:strRef>
          </c:cat>
          <c:val>
            <c:numRef>
              <c:f>'Задание III'!$E$20:$E$22</c:f>
              <c:numCache>
                <c:formatCode>0.0%</c:formatCode>
                <c:ptCount val="3"/>
                <c:pt idx="0">
                  <c:v>1.5555555555555556</c:v>
                </c:pt>
                <c:pt idx="1">
                  <c:v>1.1666666666666667</c:v>
                </c:pt>
                <c:pt idx="2">
                  <c:v>1.0451263537906137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0B-418B-9EAF-4285E6A3D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92288"/>
        <c:axId val="50077066"/>
      </c:barChart>
      <c:catAx>
        <c:axId val="419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o-RO"/>
          </a:p>
        </c:txPr>
        <c:crossAx val="50077066"/>
        <c:crosses val="autoZero"/>
        <c:auto val="1"/>
        <c:lblAlgn val="ctr"/>
        <c:lblOffset val="100"/>
        <c:noMultiLvlLbl val="0"/>
      </c:catAx>
      <c:valAx>
        <c:axId val="500770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o-RO"/>
          </a:p>
        </c:txPr>
        <c:crossAx val="41922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o-R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</xdr:row>
      <xdr:rowOff>160560</xdr:rowOff>
    </xdr:from>
    <xdr:to>
      <xdr:col>17</xdr:col>
      <xdr:colOff>73080</xdr:colOff>
      <xdr:row>26</xdr:row>
      <xdr:rowOff>153360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29</xdr:row>
      <xdr:rowOff>160560</xdr:rowOff>
    </xdr:from>
    <xdr:to>
      <xdr:col>14</xdr:col>
      <xdr:colOff>513360</xdr:colOff>
      <xdr:row>46</xdr:row>
      <xdr:rowOff>49320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160920</xdr:rowOff>
    </xdr:from>
    <xdr:to>
      <xdr:col>20</xdr:col>
      <xdr:colOff>255960</xdr:colOff>
      <xdr:row>18</xdr:row>
      <xdr:rowOff>172440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20</xdr:row>
      <xdr:rowOff>160920</xdr:rowOff>
    </xdr:from>
    <xdr:to>
      <xdr:col>20</xdr:col>
      <xdr:colOff>255960</xdr:colOff>
      <xdr:row>35</xdr:row>
      <xdr:rowOff>108360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160920</xdr:rowOff>
    </xdr:from>
    <xdr:to>
      <xdr:col>18</xdr:col>
      <xdr:colOff>364680</xdr:colOff>
      <xdr:row>14</xdr:row>
      <xdr:rowOff>182160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20</xdr:row>
      <xdr:rowOff>160560</xdr:rowOff>
    </xdr:from>
    <xdr:to>
      <xdr:col>18</xdr:col>
      <xdr:colOff>364680</xdr:colOff>
      <xdr:row>28</xdr:row>
      <xdr:rowOff>439200</xdr:rowOff>
    </xdr:to>
    <xdr:graphicFrame macro="">
      <xdr:nvGraphicFramePr>
        <xdr:cNvPr id="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38</xdr:row>
      <xdr:rowOff>160920</xdr:rowOff>
    </xdr:from>
    <xdr:to>
      <xdr:col>18</xdr:col>
      <xdr:colOff>364680</xdr:colOff>
      <xdr:row>54</xdr:row>
      <xdr:rowOff>172440</xdr:rowOff>
    </xdr:to>
    <xdr:graphicFrame macro="">
      <xdr:nvGraphicFramePr>
        <xdr:cNvPr id="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tabSelected="1" zoomScaleNormal="100" workbookViewId="0">
      <selection activeCell="Q7" sqref="Q7"/>
    </sheetView>
  </sheetViews>
  <sheetFormatPr defaultColWidth="8.6640625" defaultRowHeight="14.4" x14ac:dyDescent="0.3"/>
  <cols>
    <col min="1" max="1" width="24" customWidth="1"/>
    <col min="2" max="3" width="18" customWidth="1"/>
    <col min="4" max="4" width="24" customWidth="1"/>
    <col min="5" max="7" width="10" customWidth="1"/>
    <col min="8" max="8" width="4" customWidth="1"/>
    <col min="9" max="16" width="9" customWidth="1"/>
  </cols>
  <sheetData>
    <row r="1" spans="1:17" ht="17.399999999999999" x14ac:dyDescent="0.3">
      <c r="A1" s="4" t="s">
        <v>0</v>
      </c>
    </row>
    <row r="2" spans="1:17" x14ac:dyDescent="0.3">
      <c r="A2" s="5" t="s">
        <v>1</v>
      </c>
    </row>
    <row r="4" spans="1:17" x14ac:dyDescent="0.3">
      <c r="A4" s="6" t="s">
        <v>2</v>
      </c>
    </row>
    <row r="5" spans="1:17" x14ac:dyDescent="0.3">
      <c r="A5" s="7" t="s">
        <v>3</v>
      </c>
      <c r="B5" s="8">
        <v>2</v>
      </c>
      <c r="C5" s="8">
        <v>4</v>
      </c>
      <c r="D5" s="8">
        <v>1</v>
      </c>
      <c r="E5" s="8">
        <v>5</v>
      </c>
      <c r="F5" s="8">
        <v>1</v>
      </c>
      <c r="G5" s="8">
        <v>3</v>
      </c>
      <c r="H5" s="8">
        <v>2</v>
      </c>
      <c r="I5" s="8">
        <v>4</v>
      </c>
      <c r="J5" s="8">
        <v>5</v>
      </c>
      <c r="K5" s="8">
        <v>9</v>
      </c>
      <c r="L5" s="8">
        <v>4</v>
      </c>
      <c r="M5" s="8">
        <v>1</v>
      </c>
      <c r="N5" s="8">
        <v>4</v>
      </c>
      <c r="O5" s="8">
        <v>4</v>
      </c>
      <c r="P5" s="8">
        <v>6</v>
      </c>
      <c r="Q5" s="35"/>
    </row>
    <row r="6" spans="1:17" x14ac:dyDescent="0.3">
      <c r="A6" s="7" t="s">
        <v>4</v>
      </c>
      <c r="B6" s="8">
        <v>4</v>
      </c>
      <c r="C6" s="8">
        <v>7</v>
      </c>
      <c r="D6" s="8">
        <v>6</v>
      </c>
      <c r="E6" s="8">
        <v>4</v>
      </c>
      <c r="F6" s="8">
        <v>7</v>
      </c>
      <c r="G6" s="8">
        <v>3</v>
      </c>
      <c r="H6" s="8">
        <v>4</v>
      </c>
      <c r="I6" s="8">
        <v>5</v>
      </c>
      <c r="J6" s="8">
        <v>8</v>
      </c>
      <c r="K6" s="8">
        <v>5</v>
      </c>
      <c r="L6" s="8">
        <v>3</v>
      </c>
      <c r="M6" s="8">
        <v>4</v>
      </c>
      <c r="N6" s="8">
        <v>5</v>
      </c>
      <c r="O6" s="8">
        <v>2</v>
      </c>
      <c r="P6" s="8">
        <v>1</v>
      </c>
    </row>
    <row r="7" spans="1:17" x14ac:dyDescent="0.3">
      <c r="A7" s="7" t="s">
        <v>5</v>
      </c>
      <c r="B7" s="8">
        <v>8</v>
      </c>
      <c r="C7" s="8">
        <v>1</v>
      </c>
      <c r="D7" s="8">
        <v>7</v>
      </c>
      <c r="E7" s="8">
        <v>3</v>
      </c>
      <c r="F7" s="8">
        <v>9</v>
      </c>
      <c r="G7" s="8">
        <v>7</v>
      </c>
      <c r="H7" s="8">
        <v>6</v>
      </c>
      <c r="I7" s="8">
        <v>4</v>
      </c>
      <c r="J7" s="8">
        <v>4</v>
      </c>
      <c r="K7" s="8">
        <v>5</v>
      </c>
      <c r="L7" s="8">
        <v>2</v>
      </c>
      <c r="M7" s="8">
        <v>5</v>
      </c>
      <c r="N7" s="8">
        <v>4</v>
      </c>
      <c r="O7" s="8">
        <v>5</v>
      </c>
      <c r="P7" s="8">
        <v>1</v>
      </c>
    </row>
    <row r="8" spans="1:17" x14ac:dyDescent="0.3">
      <c r="A8" s="7" t="s">
        <v>6</v>
      </c>
      <c r="B8" s="8">
        <v>2</v>
      </c>
      <c r="C8" s="8">
        <v>2</v>
      </c>
      <c r="D8" s="8">
        <v>4</v>
      </c>
      <c r="E8" s="8">
        <v>2</v>
      </c>
      <c r="F8" s="8">
        <v>2</v>
      </c>
      <c r="G8" s="8">
        <v>5</v>
      </c>
      <c r="H8" s="8">
        <v>1</v>
      </c>
      <c r="I8" s="8">
        <v>8</v>
      </c>
      <c r="J8" s="8">
        <v>3</v>
      </c>
      <c r="K8" s="8">
        <v>6</v>
      </c>
      <c r="L8" s="8">
        <v>4</v>
      </c>
      <c r="M8" s="8">
        <v>3</v>
      </c>
      <c r="N8" s="8">
        <v>9</v>
      </c>
      <c r="O8" s="8">
        <v>4</v>
      </c>
      <c r="P8" s="8">
        <v>5</v>
      </c>
    </row>
    <row r="9" spans="1:17" x14ac:dyDescent="0.3">
      <c r="A9" s="7" t="s">
        <v>7</v>
      </c>
      <c r="B9" s="8">
        <v>3</v>
      </c>
      <c r="C9" s="8">
        <v>9</v>
      </c>
      <c r="D9" s="8">
        <v>5</v>
      </c>
      <c r="E9" s="8">
        <v>1</v>
      </c>
      <c r="F9" s="8">
        <v>6</v>
      </c>
      <c r="G9" s="8">
        <v>4</v>
      </c>
      <c r="H9" s="8">
        <v>2</v>
      </c>
      <c r="I9" s="8">
        <v>7</v>
      </c>
      <c r="J9" s="8">
        <v>7</v>
      </c>
      <c r="K9" s="8">
        <v>4</v>
      </c>
      <c r="L9" s="8"/>
      <c r="M9" s="8"/>
      <c r="N9" s="8"/>
      <c r="O9" s="8"/>
      <c r="P9" s="8"/>
    </row>
    <row r="11" spans="1:17" x14ac:dyDescent="0.3">
      <c r="A11" s="7" t="s">
        <v>8</v>
      </c>
      <c r="B11" s="9">
        <f>COUNT($B$5:$P$9)</f>
        <v>70</v>
      </c>
    </row>
    <row r="13" spans="1:17" x14ac:dyDescent="0.3">
      <c r="A13" s="6" t="s">
        <v>9</v>
      </c>
    </row>
    <row r="14" spans="1:17" ht="31.5" customHeight="1" x14ac:dyDescent="0.3">
      <c r="A14" s="10" t="s">
        <v>10</v>
      </c>
      <c r="B14" s="10" t="s">
        <v>11</v>
      </c>
      <c r="C14" s="10" t="s">
        <v>12</v>
      </c>
      <c r="D14" s="10" t="s">
        <v>13</v>
      </c>
      <c r="E14" s="10" t="s">
        <v>14</v>
      </c>
      <c r="F14" s="10" t="s">
        <v>15</v>
      </c>
      <c r="G14" s="10" t="s">
        <v>16</v>
      </c>
    </row>
    <row r="15" spans="1:17" x14ac:dyDescent="0.3">
      <c r="A15" s="11">
        <v>1</v>
      </c>
      <c r="B15" s="12">
        <f t="shared" ref="B15:B24" si="0">COUNTIF($B$5:$P$9,A15)</f>
        <v>8</v>
      </c>
      <c r="C15" s="13">
        <f t="shared" ref="C15:C24" si="1">IFERROR(B15/$B$25,0)</f>
        <v>0.11428571428571428</v>
      </c>
      <c r="D15" s="12">
        <f>SUM($B$15:B15)</f>
        <v>8</v>
      </c>
      <c r="E15" s="12">
        <f t="shared" ref="E15:E24" si="2">A15*B15</f>
        <v>8</v>
      </c>
      <c r="F15" s="14">
        <f t="shared" ref="F15:F24" si="3">IFERROR(B15/A15,0)</f>
        <v>8</v>
      </c>
      <c r="G15" s="12">
        <f t="shared" ref="G15:G24" si="4">A15^2*B15</f>
        <v>8</v>
      </c>
    </row>
    <row r="16" spans="1:17" x14ac:dyDescent="0.3">
      <c r="A16" s="11">
        <v>2</v>
      </c>
      <c r="B16" s="12">
        <f t="shared" si="0"/>
        <v>9</v>
      </c>
      <c r="C16" s="13">
        <f t="shared" si="1"/>
        <v>0.12857142857142856</v>
      </c>
      <c r="D16" s="12">
        <f>SUM($B$15:B16)</f>
        <v>17</v>
      </c>
      <c r="E16" s="12">
        <f t="shared" si="2"/>
        <v>18</v>
      </c>
      <c r="F16" s="14">
        <f t="shared" si="3"/>
        <v>4.5</v>
      </c>
      <c r="G16" s="12">
        <f t="shared" si="4"/>
        <v>36</v>
      </c>
    </row>
    <row r="17" spans="1:7" x14ac:dyDescent="0.3">
      <c r="A17" s="11">
        <v>3</v>
      </c>
      <c r="B17" s="12">
        <f t="shared" si="0"/>
        <v>7</v>
      </c>
      <c r="C17" s="13">
        <f t="shared" si="1"/>
        <v>0.1</v>
      </c>
      <c r="D17" s="12">
        <f>SUM($B$15:B17)</f>
        <v>24</v>
      </c>
      <c r="E17" s="12">
        <f t="shared" si="2"/>
        <v>21</v>
      </c>
      <c r="F17" s="14">
        <f t="shared" si="3"/>
        <v>2.3333333333333335</v>
      </c>
      <c r="G17" s="12">
        <f t="shared" si="4"/>
        <v>63</v>
      </c>
    </row>
    <row r="18" spans="1:7" x14ac:dyDescent="0.3">
      <c r="A18" s="11">
        <v>4</v>
      </c>
      <c r="B18" s="12">
        <f t="shared" si="0"/>
        <v>17</v>
      </c>
      <c r="C18" s="13">
        <f t="shared" si="1"/>
        <v>0.24285714285714285</v>
      </c>
      <c r="D18" s="12">
        <f>SUM($B$15:B18)</f>
        <v>41</v>
      </c>
      <c r="E18" s="12">
        <f t="shared" si="2"/>
        <v>68</v>
      </c>
      <c r="F18" s="14">
        <f t="shared" si="3"/>
        <v>4.25</v>
      </c>
      <c r="G18" s="12">
        <f t="shared" si="4"/>
        <v>272</v>
      </c>
    </row>
    <row r="19" spans="1:7" x14ac:dyDescent="0.3">
      <c r="A19" s="11">
        <v>5</v>
      </c>
      <c r="B19" s="12">
        <f t="shared" si="0"/>
        <v>11</v>
      </c>
      <c r="C19" s="13">
        <f t="shared" si="1"/>
        <v>0.15714285714285714</v>
      </c>
      <c r="D19" s="12">
        <f>SUM($B$15:B19)</f>
        <v>52</v>
      </c>
      <c r="E19" s="12">
        <f t="shared" si="2"/>
        <v>55</v>
      </c>
      <c r="F19" s="14">
        <f t="shared" si="3"/>
        <v>2.2000000000000002</v>
      </c>
      <c r="G19" s="12">
        <f t="shared" si="4"/>
        <v>275</v>
      </c>
    </row>
    <row r="20" spans="1:7" x14ac:dyDescent="0.3">
      <c r="A20" s="11">
        <v>6</v>
      </c>
      <c r="B20" s="12">
        <f t="shared" si="0"/>
        <v>5</v>
      </c>
      <c r="C20" s="13">
        <f t="shared" si="1"/>
        <v>7.1428571428571425E-2</v>
      </c>
      <c r="D20" s="12">
        <f>SUM($B$15:B20)</f>
        <v>57</v>
      </c>
      <c r="E20" s="12">
        <f t="shared" si="2"/>
        <v>30</v>
      </c>
      <c r="F20" s="14">
        <f t="shared" si="3"/>
        <v>0.83333333333333337</v>
      </c>
      <c r="G20" s="12">
        <f t="shared" si="4"/>
        <v>180</v>
      </c>
    </row>
    <row r="21" spans="1:7" x14ac:dyDescent="0.3">
      <c r="A21" s="11">
        <v>7</v>
      </c>
      <c r="B21" s="12">
        <f t="shared" si="0"/>
        <v>6</v>
      </c>
      <c r="C21" s="13">
        <f t="shared" si="1"/>
        <v>8.5714285714285715E-2</v>
      </c>
      <c r="D21" s="12">
        <f>SUM($B$15:B21)</f>
        <v>63</v>
      </c>
      <c r="E21" s="12">
        <f t="shared" si="2"/>
        <v>42</v>
      </c>
      <c r="F21" s="14">
        <f t="shared" si="3"/>
        <v>0.8571428571428571</v>
      </c>
      <c r="G21" s="12">
        <f t="shared" si="4"/>
        <v>294</v>
      </c>
    </row>
    <row r="22" spans="1:7" x14ac:dyDescent="0.3">
      <c r="A22" s="11">
        <v>8</v>
      </c>
      <c r="B22" s="12">
        <f t="shared" si="0"/>
        <v>3</v>
      </c>
      <c r="C22" s="13">
        <f t="shared" si="1"/>
        <v>4.2857142857142858E-2</v>
      </c>
      <c r="D22" s="12">
        <f>SUM($B$15:B22)</f>
        <v>66</v>
      </c>
      <c r="E22" s="12">
        <f t="shared" si="2"/>
        <v>24</v>
      </c>
      <c r="F22" s="14">
        <f t="shared" si="3"/>
        <v>0.375</v>
      </c>
      <c r="G22" s="12">
        <f t="shared" si="4"/>
        <v>192</v>
      </c>
    </row>
    <row r="23" spans="1:7" x14ac:dyDescent="0.3">
      <c r="A23" s="11">
        <v>9</v>
      </c>
      <c r="B23" s="12">
        <f t="shared" si="0"/>
        <v>4</v>
      </c>
      <c r="C23" s="13">
        <f t="shared" si="1"/>
        <v>5.7142857142857141E-2</v>
      </c>
      <c r="D23" s="12">
        <f>SUM($B$15:B23)</f>
        <v>70</v>
      </c>
      <c r="E23" s="12">
        <f t="shared" si="2"/>
        <v>36</v>
      </c>
      <c r="F23" s="14">
        <f t="shared" si="3"/>
        <v>0.44444444444444442</v>
      </c>
      <c r="G23" s="12">
        <f t="shared" si="4"/>
        <v>324</v>
      </c>
    </row>
    <row r="24" spans="1:7" x14ac:dyDescent="0.3">
      <c r="A24" s="11">
        <v>10</v>
      </c>
      <c r="B24" s="12">
        <f t="shared" si="0"/>
        <v>0</v>
      </c>
      <c r="C24" s="13">
        <f t="shared" si="1"/>
        <v>0</v>
      </c>
      <c r="D24" s="12">
        <f>SUM($B$15:B24)</f>
        <v>70</v>
      </c>
      <c r="E24" s="12">
        <f t="shared" si="2"/>
        <v>0</v>
      </c>
      <c r="F24" s="14">
        <f t="shared" si="3"/>
        <v>0</v>
      </c>
      <c r="G24" s="12">
        <f t="shared" si="4"/>
        <v>0</v>
      </c>
    </row>
    <row r="25" spans="1:7" x14ac:dyDescent="0.3">
      <c r="A25" s="7" t="s">
        <v>17</v>
      </c>
      <c r="B25" s="15">
        <f>SUM(B15:B24)</f>
        <v>70</v>
      </c>
      <c r="C25" s="16">
        <f>SUM(C15:C24)</f>
        <v>1</v>
      </c>
      <c r="D25" s="7"/>
      <c r="E25" s="15">
        <f>SUM(E15:E24)</f>
        <v>302</v>
      </c>
      <c r="F25" s="17">
        <f>SUM(F15:F24)</f>
        <v>23.793253968253968</v>
      </c>
      <c r="G25" s="15">
        <f>SUM(G15:G24)</f>
        <v>1644</v>
      </c>
    </row>
    <row r="26" spans="1:7" x14ac:dyDescent="0.3">
      <c r="A26" s="18" t="str">
        <f>IF(B25=B11,"Контроль: Σfi = n  →  OK","ВНИМАНИЕ: есть значения вне вариантов из столбца A")</f>
        <v>Контроль: Σfi = n  →  OK</v>
      </c>
    </row>
    <row r="27" spans="1:7" x14ac:dyDescent="0.3">
      <c r="A27" s="5" t="s">
        <v>18</v>
      </c>
    </row>
    <row r="30" spans="1:7" x14ac:dyDescent="0.3">
      <c r="A30" s="6" t="s">
        <v>19</v>
      </c>
    </row>
    <row r="31" spans="1:7" x14ac:dyDescent="0.3">
      <c r="A31" s="10" t="s">
        <v>20</v>
      </c>
      <c r="B31" s="10" t="s">
        <v>21</v>
      </c>
      <c r="C31" s="10" t="s">
        <v>22</v>
      </c>
    </row>
    <row r="32" spans="1:7" x14ac:dyDescent="0.3">
      <c r="A32" s="12">
        <f t="shared" ref="A32:B41" si="5">A15</f>
        <v>1</v>
      </c>
      <c r="B32" s="12">
        <f t="shared" si="5"/>
        <v>8</v>
      </c>
      <c r="C32" s="13">
        <f t="shared" ref="C32:C41" si="6">IFERROR(B32/$B$42,0)</f>
        <v>0.11428571428571428</v>
      </c>
    </row>
    <row r="33" spans="1:4" x14ac:dyDescent="0.3">
      <c r="A33" s="12">
        <f t="shared" si="5"/>
        <v>2</v>
      </c>
      <c r="B33" s="12">
        <f t="shared" si="5"/>
        <v>9</v>
      </c>
      <c r="C33" s="13">
        <f t="shared" si="6"/>
        <v>0.12857142857142856</v>
      </c>
    </row>
    <row r="34" spans="1:4" x14ac:dyDescent="0.3">
      <c r="A34" s="12">
        <f t="shared" si="5"/>
        <v>3</v>
      </c>
      <c r="B34" s="12">
        <f t="shared" si="5"/>
        <v>7</v>
      </c>
      <c r="C34" s="13">
        <f t="shared" si="6"/>
        <v>0.1</v>
      </c>
    </row>
    <row r="35" spans="1:4" x14ac:dyDescent="0.3">
      <c r="A35" s="12">
        <f t="shared" si="5"/>
        <v>4</v>
      </c>
      <c r="B35" s="12">
        <f t="shared" si="5"/>
        <v>17</v>
      </c>
      <c r="C35" s="13">
        <f t="shared" si="6"/>
        <v>0.24285714285714285</v>
      </c>
    </row>
    <row r="36" spans="1:4" x14ac:dyDescent="0.3">
      <c r="A36" s="12">
        <f t="shared" si="5"/>
        <v>5</v>
      </c>
      <c r="B36" s="12">
        <f t="shared" si="5"/>
        <v>11</v>
      </c>
      <c r="C36" s="13">
        <f t="shared" si="6"/>
        <v>0.15714285714285714</v>
      </c>
    </row>
    <row r="37" spans="1:4" x14ac:dyDescent="0.3">
      <c r="A37" s="12">
        <f t="shared" si="5"/>
        <v>6</v>
      </c>
      <c r="B37" s="12">
        <f t="shared" si="5"/>
        <v>5</v>
      </c>
      <c r="C37" s="13">
        <f t="shared" si="6"/>
        <v>7.1428571428571425E-2</v>
      </c>
    </row>
    <row r="38" spans="1:4" x14ac:dyDescent="0.3">
      <c r="A38" s="12">
        <f t="shared" si="5"/>
        <v>7</v>
      </c>
      <c r="B38" s="12">
        <f t="shared" si="5"/>
        <v>6</v>
      </c>
      <c r="C38" s="13">
        <f t="shared" si="6"/>
        <v>8.5714285714285715E-2</v>
      </c>
    </row>
    <row r="39" spans="1:4" x14ac:dyDescent="0.3">
      <c r="A39" s="12">
        <f t="shared" si="5"/>
        <v>8</v>
      </c>
      <c r="B39" s="12">
        <f t="shared" si="5"/>
        <v>3</v>
      </c>
      <c r="C39" s="13">
        <f t="shared" si="6"/>
        <v>4.2857142857142858E-2</v>
      </c>
    </row>
    <row r="40" spans="1:4" x14ac:dyDescent="0.3">
      <c r="A40" s="12">
        <f t="shared" si="5"/>
        <v>9</v>
      </c>
      <c r="B40" s="12">
        <f t="shared" si="5"/>
        <v>4</v>
      </c>
      <c r="C40" s="13">
        <f t="shared" si="6"/>
        <v>5.7142857142857141E-2</v>
      </c>
    </row>
    <row r="41" spans="1:4" x14ac:dyDescent="0.3">
      <c r="A41" s="12">
        <f t="shared" si="5"/>
        <v>10</v>
      </c>
      <c r="B41" s="12">
        <f t="shared" si="5"/>
        <v>0</v>
      </c>
      <c r="C41" s="13">
        <f t="shared" si="6"/>
        <v>0</v>
      </c>
    </row>
    <row r="42" spans="1:4" x14ac:dyDescent="0.3">
      <c r="A42" s="7" t="s">
        <v>17</v>
      </c>
      <c r="B42" s="15">
        <f>SUM(B32:B41)</f>
        <v>70</v>
      </c>
      <c r="C42" s="16">
        <f>SUM(C32:C41)</f>
        <v>1</v>
      </c>
    </row>
    <row r="45" spans="1:4" x14ac:dyDescent="0.3">
      <c r="A45" s="6" t="s">
        <v>23</v>
      </c>
    </row>
    <row r="46" spans="1:4" ht="26.4" x14ac:dyDescent="0.3">
      <c r="A46" s="10" t="s">
        <v>24</v>
      </c>
      <c r="B46" s="10" t="s">
        <v>25</v>
      </c>
      <c r="C46" s="10" t="s">
        <v>26</v>
      </c>
      <c r="D46" s="10" t="s">
        <v>27</v>
      </c>
    </row>
    <row r="47" spans="1:4" ht="26.4" x14ac:dyDescent="0.3">
      <c r="A47" s="19" t="s">
        <v>28</v>
      </c>
      <c r="B47" s="20">
        <f>E25/B25</f>
        <v>4.3142857142857141</v>
      </c>
      <c r="C47" s="21">
        <f>AVERAGE($B$5:$P$9)</f>
        <v>4.3142857142857141</v>
      </c>
      <c r="D47" s="22" t="s">
        <v>29</v>
      </c>
    </row>
    <row r="48" spans="1:4" x14ac:dyDescent="0.3">
      <c r="A48" s="19" t="s">
        <v>30</v>
      </c>
      <c r="B48" s="20">
        <f>B25/F25</f>
        <v>2.9420103737553998</v>
      </c>
      <c r="C48" s="21">
        <f>HARMEAN($B$5:$P$9)</f>
        <v>2.9420103737554006</v>
      </c>
      <c r="D48" s="22" t="s">
        <v>31</v>
      </c>
    </row>
    <row r="49" spans="1:4" ht="26.4" x14ac:dyDescent="0.3">
      <c r="A49" s="19" t="s">
        <v>32</v>
      </c>
      <c r="B49" s="20">
        <f>SQRT(G25/B25)</f>
        <v>4.8462061744950846</v>
      </c>
      <c r="C49" s="21">
        <f>SQRT(SUMSQ($B$5:$P$9)/B11)</f>
        <v>4.8462061744950846</v>
      </c>
      <c r="D49" s="22" t="s">
        <v>33</v>
      </c>
    </row>
    <row r="50" spans="1:4" ht="26.4" x14ac:dyDescent="0.3">
      <c r="A50" s="19" t="s">
        <v>34</v>
      </c>
      <c r="B50" s="20">
        <f>INDEX(A15:A24,MATCH(MAX(B15:B24),B15:B24,0))</f>
        <v>4</v>
      </c>
      <c r="C50" s="21">
        <f>MODE($B$5:$P$9)</f>
        <v>4</v>
      </c>
      <c r="D50" s="22" t="s">
        <v>35</v>
      </c>
    </row>
    <row r="51" spans="1:4" ht="26.4" x14ac:dyDescent="0.3">
      <c r="A51" s="19" t="s">
        <v>36</v>
      </c>
      <c r="B51" s="20">
        <f>(INDEX(A15:A24,COUNTIF(D15:D24,"&lt;"&amp;INT((B25+1)/2))+1)+INDEX(A15:A24,COUNTIF(D15:D24,"&lt;"&amp;(INT(B25/2)+1))+1))/2</f>
        <v>4</v>
      </c>
      <c r="C51" s="21">
        <f>MEDIAN($B$5:$P$9)</f>
        <v>4</v>
      </c>
      <c r="D51" s="22" t="s">
        <v>37</v>
      </c>
    </row>
    <row r="53" spans="1:4" x14ac:dyDescent="0.3">
      <c r="A53" s="18" t="str">
        <f>"Проверка: гармоническая ≤ арифметическая ≤ квадратическая  →  "&amp;IF(AND(B48&lt;=B47,B47&lt;=B49),"OK","ОШИБКА")</f>
        <v>Проверка: гармоническая ≤ арифметическая ≤ квадратическая  →  OK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zoomScaleNormal="100" workbookViewId="0"/>
  </sheetViews>
  <sheetFormatPr defaultColWidth="8.6640625" defaultRowHeight="14.4" x14ac:dyDescent="0.3"/>
  <cols>
    <col min="1" max="1" width="28" customWidth="1"/>
    <col min="2" max="2" width="18" customWidth="1"/>
    <col min="3" max="3" width="16" customWidth="1"/>
    <col min="4" max="5" width="14" customWidth="1"/>
    <col min="6" max="6" width="16" customWidth="1"/>
    <col min="7" max="8" width="14" customWidth="1"/>
    <col min="9" max="9" width="10" customWidth="1"/>
    <col min="10" max="10" width="14" customWidth="1"/>
    <col min="11" max="11" width="8" customWidth="1"/>
  </cols>
  <sheetData>
    <row r="1" spans="1:11" ht="17.399999999999999" x14ac:dyDescent="0.3">
      <c r="A1" s="4" t="s">
        <v>38</v>
      </c>
    </row>
    <row r="2" spans="1:11" x14ac:dyDescent="0.3">
      <c r="A2" s="5" t="s">
        <v>1</v>
      </c>
    </row>
    <row r="4" spans="1:11" x14ac:dyDescent="0.3">
      <c r="A4" s="6" t="s">
        <v>2</v>
      </c>
    </row>
    <row r="5" spans="1:11" x14ac:dyDescent="0.3">
      <c r="A5" s="7" t="s">
        <v>3</v>
      </c>
      <c r="B5" s="8">
        <v>79</v>
      </c>
      <c r="C5" s="8">
        <v>59</v>
      </c>
      <c r="D5" s="8">
        <v>79</v>
      </c>
      <c r="E5" s="8">
        <v>129</v>
      </c>
      <c r="F5" s="8">
        <v>150</v>
      </c>
      <c r="G5" s="8">
        <v>181</v>
      </c>
      <c r="H5" s="8">
        <v>139</v>
      </c>
      <c r="I5" s="8">
        <v>199</v>
      </c>
      <c r="J5" s="8">
        <v>200</v>
      </c>
      <c r="K5" s="8">
        <v>280</v>
      </c>
    </row>
    <row r="6" spans="1:11" x14ac:dyDescent="0.3">
      <c r="A6" s="7" t="s">
        <v>4</v>
      </c>
      <c r="B6" s="8">
        <v>123</v>
      </c>
      <c r="C6" s="8">
        <v>90</v>
      </c>
      <c r="D6" s="8">
        <v>166</v>
      </c>
      <c r="E6" s="8">
        <v>270</v>
      </c>
      <c r="F6" s="8">
        <v>158</v>
      </c>
      <c r="G6" s="8">
        <v>258</v>
      </c>
      <c r="H6" s="8">
        <v>100</v>
      </c>
      <c r="I6" s="8">
        <v>30</v>
      </c>
      <c r="J6" s="8">
        <v>259</v>
      </c>
      <c r="K6" s="8">
        <v>230</v>
      </c>
    </row>
    <row r="7" spans="1:11" x14ac:dyDescent="0.3">
      <c r="A7" s="7" t="s">
        <v>5</v>
      </c>
      <c r="B7" s="8">
        <v>105</v>
      </c>
      <c r="C7" s="8">
        <v>320</v>
      </c>
      <c r="D7" s="8">
        <v>159</v>
      </c>
      <c r="E7" s="8">
        <v>270</v>
      </c>
      <c r="F7" s="8">
        <v>209</v>
      </c>
      <c r="G7" s="8">
        <v>90</v>
      </c>
      <c r="H7" s="8">
        <v>190</v>
      </c>
      <c r="I7" s="8">
        <v>380</v>
      </c>
      <c r="J7" s="8">
        <v>260</v>
      </c>
      <c r="K7" s="8">
        <v>290</v>
      </c>
    </row>
    <row r="8" spans="1:11" x14ac:dyDescent="0.3">
      <c r="A8" s="7" t="s">
        <v>6</v>
      </c>
      <c r="B8" s="8">
        <v>180</v>
      </c>
      <c r="C8" s="8">
        <v>207</v>
      </c>
      <c r="D8" s="8">
        <v>70</v>
      </c>
      <c r="E8" s="8">
        <v>129</v>
      </c>
      <c r="F8" s="8">
        <v>380</v>
      </c>
      <c r="G8" s="8">
        <v>400</v>
      </c>
      <c r="H8" s="8">
        <v>236</v>
      </c>
      <c r="I8" s="8">
        <v>201</v>
      </c>
      <c r="J8" s="8">
        <v>350</v>
      </c>
      <c r="K8" s="8">
        <v>200</v>
      </c>
    </row>
    <row r="9" spans="1:11" x14ac:dyDescent="0.3">
      <c r="A9" s="7" t="s">
        <v>7</v>
      </c>
      <c r="B9" s="8">
        <v>275</v>
      </c>
      <c r="C9" s="8">
        <v>205</v>
      </c>
      <c r="D9" s="8">
        <v>189</v>
      </c>
      <c r="E9" s="8">
        <v>321</v>
      </c>
      <c r="F9" s="8">
        <v>69</v>
      </c>
      <c r="G9" s="8">
        <v>87</v>
      </c>
      <c r="H9" s="8">
        <v>386</v>
      </c>
      <c r="I9" s="8">
        <v>202</v>
      </c>
      <c r="J9" s="8">
        <v>90</v>
      </c>
      <c r="K9" s="8">
        <v>100</v>
      </c>
    </row>
    <row r="11" spans="1:11" x14ac:dyDescent="0.3">
      <c r="A11" s="19" t="s">
        <v>39</v>
      </c>
      <c r="B11" s="9">
        <f>COUNT($B$5:$K$9)</f>
        <v>50</v>
      </c>
    </row>
    <row r="12" spans="1:11" x14ac:dyDescent="0.3">
      <c r="A12" s="19" t="s">
        <v>40</v>
      </c>
      <c r="B12" s="23">
        <f>MIN($B$5:$K$9)</f>
        <v>30</v>
      </c>
    </row>
    <row r="13" spans="1:11" x14ac:dyDescent="0.3">
      <c r="A13" s="19" t="s">
        <v>41</v>
      </c>
      <c r="B13" s="23">
        <f>MAX($B$5:$K$9)</f>
        <v>400</v>
      </c>
    </row>
    <row r="14" spans="1:11" x14ac:dyDescent="0.3">
      <c r="A14" s="19" t="s">
        <v>42</v>
      </c>
      <c r="B14" s="9">
        <v>7</v>
      </c>
      <c r="C14" s="24">
        <f>1+3.322*LOG10(B11)</f>
        <v>6.6439783544042541</v>
      </c>
      <c r="D14" s="5" t="s">
        <v>43</v>
      </c>
    </row>
    <row r="15" spans="1:11" x14ac:dyDescent="0.3">
      <c r="A15" s="19" t="s">
        <v>44</v>
      </c>
      <c r="B15" s="9">
        <f>ROUNDUP((B13-B12)/B14,0)</f>
        <v>53</v>
      </c>
      <c r="C15" s="5" t="s">
        <v>45</v>
      </c>
    </row>
    <row r="17" spans="1:10" x14ac:dyDescent="0.3">
      <c r="A17" s="6" t="s">
        <v>46</v>
      </c>
    </row>
    <row r="18" spans="1:10" x14ac:dyDescent="0.3">
      <c r="A18" s="10" t="s">
        <v>47</v>
      </c>
      <c r="B18" s="10" t="s">
        <v>48</v>
      </c>
      <c r="C18" s="10" t="s">
        <v>49</v>
      </c>
      <c r="D18" s="10" t="s">
        <v>50</v>
      </c>
      <c r="E18" s="10" t="s">
        <v>51</v>
      </c>
      <c r="F18" s="10" t="s">
        <v>52</v>
      </c>
      <c r="G18" s="10" t="s">
        <v>53</v>
      </c>
      <c r="H18" s="10" t="s">
        <v>54</v>
      </c>
      <c r="I18" s="10" t="s">
        <v>14</v>
      </c>
      <c r="J18" s="10" t="s">
        <v>55</v>
      </c>
    </row>
    <row r="19" spans="1:10" x14ac:dyDescent="0.3">
      <c r="A19" s="12">
        <v>1</v>
      </c>
      <c r="B19" s="25" t="str">
        <f t="shared" ref="B19:B25" si="0">ROUND(C19,2)&amp;" – "&amp;ROUND(D19,2)</f>
        <v>30 – 83</v>
      </c>
      <c r="C19" s="26">
        <f>$B$12</f>
        <v>30</v>
      </c>
      <c r="D19" s="26">
        <f t="shared" ref="D19:D25" si="1">C19+$B$15</f>
        <v>83</v>
      </c>
      <c r="E19" s="27">
        <f t="shared" ref="E19:E25" si="2">(C19+D19)/2</f>
        <v>56.5</v>
      </c>
      <c r="F19" s="12">
        <f t="shared" ref="F19:F24" si="3">COUNTIFS($B$5:$K$9,"&gt;="&amp;C19,$B$5:$K$9,"&lt;"&amp;D19)</f>
        <v>6</v>
      </c>
      <c r="G19" s="13">
        <f t="shared" ref="G19:G25" si="4">IFERROR(F19/$F$26,0)</f>
        <v>0.12</v>
      </c>
      <c r="H19" s="12">
        <f>SUM($F$19:F19)</f>
        <v>6</v>
      </c>
      <c r="I19" s="27">
        <f t="shared" ref="I19:I25" si="5">E19*F19</f>
        <v>339</v>
      </c>
      <c r="J19" s="27">
        <f t="shared" ref="J19:J25" si="6">F19*(E19-$B$31)^2</f>
        <v>117465.63839999998</v>
      </c>
    </row>
    <row r="20" spans="1:10" x14ac:dyDescent="0.3">
      <c r="A20" s="12">
        <v>2</v>
      </c>
      <c r="B20" s="25" t="str">
        <f t="shared" si="0"/>
        <v>83 – 136</v>
      </c>
      <c r="C20" s="26">
        <f t="shared" ref="C20:C25" si="7">D19</f>
        <v>83</v>
      </c>
      <c r="D20" s="26">
        <f t="shared" si="1"/>
        <v>136</v>
      </c>
      <c r="E20" s="27">
        <f t="shared" si="2"/>
        <v>109.5</v>
      </c>
      <c r="F20" s="12">
        <f t="shared" si="3"/>
        <v>10</v>
      </c>
      <c r="G20" s="13">
        <f t="shared" si="4"/>
        <v>0.2</v>
      </c>
      <c r="H20" s="12">
        <f>SUM($F$19:F20)</f>
        <v>16</v>
      </c>
      <c r="I20" s="27">
        <f t="shared" si="5"/>
        <v>1095</v>
      </c>
      <c r="J20" s="27">
        <f t="shared" si="6"/>
        <v>75550.863999999972</v>
      </c>
    </row>
    <row r="21" spans="1:10" x14ac:dyDescent="0.3">
      <c r="A21" s="12">
        <v>3</v>
      </c>
      <c r="B21" s="25" t="str">
        <f t="shared" si="0"/>
        <v>136 – 189</v>
      </c>
      <c r="C21" s="26">
        <f t="shared" si="7"/>
        <v>136</v>
      </c>
      <c r="D21" s="26">
        <f t="shared" si="1"/>
        <v>189</v>
      </c>
      <c r="E21" s="27">
        <f t="shared" si="2"/>
        <v>162.5</v>
      </c>
      <c r="F21" s="12">
        <f t="shared" si="3"/>
        <v>7</v>
      </c>
      <c r="G21" s="13">
        <f t="shared" si="4"/>
        <v>0.14000000000000001</v>
      </c>
      <c r="H21" s="12">
        <f>SUM($F$19:F21)</f>
        <v>23</v>
      </c>
      <c r="I21" s="27">
        <f t="shared" si="5"/>
        <v>1137.5</v>
      </c>
      <c r="J21" s="27">
        <f t="shared" si="6"/>
        <v>8053.9647999999943</v>
      </c>
    </row>
    <row r="22" spans="1:10" x14ac:dyDescent="0.3">
      <c r="A22" s="12">
        <v>4</v>
      </c>
      <c r="B22" s="25" t="str">
        <f t="shared" si="0"/>
        <v>189 – 242</v>
      </c>
      <c r="C22" s="26">
        <f t="shared" si="7"/>
        <v>189</v>
      </c>
      <c r="D22" s="26">
        <f t="shared" si="1"/>
        <v>242</v>
      </c>
      <c r="E22" s="27">
        <f t="shared" si="2"/>
        <v>215.5</v>
      </c>
      <c r="F22" s="12">
        <f t="shared" si="3"/>
        <v>12</v>
      </c>
      <c r="G22" s="13">
        <f t="shared" si="4"/>
        <v>0.24</v>
      </c>
      <c r="H22" s="12">
        <f>SUM($F$19:F22)</f>
        <v>35</v>
      </c>
      <c r="I22" s="27">
        <f t="shared" si="5"/>
        <v>2586</v>
      </c>
      <c r="J22" s="27">
        <f t="shared" si="6"/>
        <v>4368.5568000000058</v>
      </c>
    </row>
    <row r="23" spans="1:10" x14ac:dyDescent="0.3">
      <c r="A23" s="12">
        <v>5</v>
      </c>
      <c r="B23" s="25" t="str">
        <f t="shared" si="0"/>
        <v>242 – 295</v>
      </c>
      <c r="C23" s="26">
        <f t="shared" si="7"/>
        <v>242</v>
      </c>
      <c r="D23" s="26">
        <f t="shared" si="1"/>
        <v>295</v>
      </c>
      <c r="E23" s="27">
        <f t="shared" si="2"/>
        <v>268.5</v>
      </c>
      <c r="F23" s="12">
        <f t="shared" si="3"/>
        <v>8</v>
      </c>
      <c r="G23" s="13">
        <f t="shared" si="4"/>
        <v>0.16</v>
      </c>
      <c r="H23" s="12">
        <f>SUM($F$19:F23)</f>
        <v>43</v>
      </c>
      <c r="I23" s="27">
        <f t="shared" si="5"/>
        <v>2148</v>
      </c>
      <c r="J23" s="27">
        <f t="shared" si="6"/>
        <v>41564.211200000012</v>
      </c>
    </row>
    <row r="24" spans="1:10" x14ac:dyDescent="0.3">
      <c r="A24" s="12">
        <v>6</v>
      </c>
      <c r="B24" s="25" t="str">
        <f t="shared" si="0"/>
        <v>295 – 348</v>
      </c>
      <c r="C24" s="26">
        <f t="shared" si="7"/>
        <v>295</v>
      </c>
      <c r="D24" s="26">
        <f t="shared" si="1"/>
        <v>348</v>
      </c>
      <c r="E24" s="27">
        <f t="shared" si="2"/>
        <v>321.5</v>
      </c>
      <c r="F24" s="12">
        <f t="shared" si="3"/>
        <v>2</v>
      </c>
      <c r="G24" s="13">
        <f t="shared" si="4"/>
        <v>0.04</v>
      </c>
      <c r="H24" s="12">
        <f>SUM($F$19:F24)</f>
        <v>45</v>
      </c>
      <c r="I24" s="27">
        <f t="shared" si="5"/>
        <v>643</v>
      </c>
      <c r="J24" s="27">
        <f t="shared" si="6"/>
        <v>31290.012800000008</v>
      </c>
    </row>
    <row r="25" spans="1:10" x14ac:dyDescent="0.3">
      <c r="A25" s="12">
        <v>7</v>
      </c>
      <c r="B25" s="25" t="str">
        <f t="shared" si="0"/>
        <v>348 – 401</v>
      </c>
      <c r="C25" s="26">
        <f t="shared" si="7"/>
        <v>348</v>
      </c>
      <c r="D25" s="26">
        <f t="shared" si="1"/>
        <v>401</v>
      </c>
      <c r="E25" s="27">
        <f t="shared" si="2"/>
        <v>374.5</v>
      </c>
      <c r="F25" s="12">
        <f>COUNTIFS($B$5:$K$9,"&gt;="&amp;C25,$B$5:$K$9,"&lt;="&amp;D25)</f>
        <v>5</v>
      </c>
      <c r="G25" s="13">
        <f t="shared" si="4"/>
        <v>0.1</v>
      </c>
      <c r="H25" s="12">
        <f>SUM($F$19:F25)</f>
        <v>50</v>
      </c>
      <c r="I25" s="27">
        <f t="shared" si="5"/>
        <v>1872.5</v>
      </c>
      <c r="J25" s="27">
        <f t="shared" si="6"/>
        <v>158562.43200000003</v>
      </c>
    </row>
    <row r="26" spans="1:10" x14ac:dyDescent="0.3">
      <c r="A26" s="7" t="s">
        <v>17</v>
      </c>
      <c r="B26" s="7"/>
      <c r="C26" s="7"/>
      <c r="D26" s="7"/>
      <c r="E26" s="7"/>
      <c r="F26" s="15">
        <f>SUM(F19:F25)</f>
        <v>50</v>
      </c>
      <c r="G26" s="16">
        <f>SUM(G19:G25)</f>
        <v>1</v>
      </c>
      <c r="H26" s="7"/>
      <c r="I26" s="28">
        <f>SUM(I19:I25)</f>
        <v>9821</v>
      </c>
      <c r="J26" s="28">
        <f>SUM(J19:J25)</f>
        <v>436855.68</v>
      </c>
    </row>
    <row r="27" spans="1:10" x14ac:dyDescent="0.3">
      <c r="A27" s="18" t="str">
        <f>IF(F26=B11,"Контроль: Σfi = n  →  OK","ВНИМАНИЕ: Σfi ≠ n – проверьте интервалы")</f>
        <v>Контроль: Σfi = n  →  OK</v>
      </c>
    </row>
    <row r="29" spans="1:10" x14ac:dyDescent="0.3">
      <c r="A29" s="6" t="s">
        <v>56</v>
      </c>
    </row>
    <row r="30" spans="1:10" ht="39.6" x14ac:dyDescent="0.3">
      <c r="A30" s="10" t="s">
        <v>24</v>
      </c>
      <c r="B30" s="10" t="s">
        <v>57</v>
      </c>
      <c r="C30" s="10" t="s">
        <v>26</v>
      </c>
      <c r="D30" s="10" t="s">
        <v>27</v>
      </c>
    </row>
    <row r="31" spans="1:10" ht="15" customHeight="1" x14ac:dyDescent="0.3">
      <c r="A31" s="19" t="s">
        <v>58</v>
      </c>
      <c r="B31" s="29">
        <f>I26/F26</f>
        <v>196.42</v>
      </c>
      <c r="C31" s="24">
        <f>AVERAGE($B$5:$K$9)</f>
        <v>194.58</v>
      </c>
      <c r="D31" s="3" t="s">
        <v>29</v>
      </c>
      <c r="E31" s="3"/>
      <c r="F31" s="3"/>
      <c r="G31" s="3"/>
      <c r="H31" s="3"/>
    </row>
    <row r="32" spans="1:10" ht="15" customHeight="1" x14ac:dyDescent="0.3">
      <c r="A32" s="19" t="s">
        <v>34</v>
      </c>
      <c r="B32" s="29">
        <f>G46</f>
        <v>218.44444444444446</v>
      </c>
      <c r="C32" s="24">
        <f>MODE($B$5:$K$9)</f>
        <v>90</v>
      </c>
      <c r="D32" s="3" t="s">
        <v>59</v>
      </c>
      <c r="E32" s="3"/>
      <c r="F32" s="3"/>
      <c r="G32" s="3"/>
      <c r="H32" s="3"/>
    </row>
    <row r="33" spans="1:8" ht="15" customHeight="1" x14ac:dyDescent="0.3">
      <c r="A33" s="19" t="s">
        <v>36</v>
      </c>
      <c r="B33" s="29">
        <f>H42</f>
        <v>197.83333333333334</v>
      </c>
      <c r="C33" s="24">
        <f>MEDIAN($B$5:$K$9)</f>
        <v>194.5</v>
      </c>
      <c r="D33" s="3" t="s">
        <v>60</v>
      </c>
      <c r="E33" s="3"/>
      <c r="F33" s="3"/>
      <c r="G33" s="3"/>
      <c r="H33" s="3"/>
    </row>
    <row r="34" spans="1:8" ht="15" customHeight="1" x14ac:dyDescent="0.3">
      <c r="A34" s="19" t="s">
        <v>61</v>
      </c>
      <c r="B34" s="29">
        <f>H41</f>
        <v>117.45</v>
      </c>
      <c r="C34" s="24">
        <f>QUARTILE($B$5:$K$9,1)</f>
        <v>109.5</v>
      </c>
      <c r="D34" s="3" t="s">
        <v>62</v>
      </c>
      <c r="E34" s="3"/>
      <c r="F34" s="3"/>
      <c r="G34" s="3"/>
      <c r="H34" s="3"/>
    </row>
    <row r="35" spans="1:8" ht="15" customHeight="1" x14ac:dyDescent="0.3">
      <c r="A35" s="19" t="s">
        <v>63</v>
      </c>
      <c r="B35" s="29">
        <f>H42</f>
        <v>197.83333333333334</v>
      </c>
      <c r="C35" s="24">
        <f>QUARTILE($B$5:$K$9,2)</f>
        <v>194.5</v>
      </c>
      <c r="D35" s="3" t="s">
        <v>64</v>
      </c>
      <c r="E35" s="3"/>
      <c r="F35" s="3"/>
      <c r="G35" s="3"/>
      <c r="H35" s="3"/>
    </row>
    <row r="36" spans="1:8" ht="15" customHeight="1" x14ac:dyDescent="0.3">
      <c r="A36" s="19" t="s">
        <v>65</v>
      </c>
      <c r="B36" s="29">
        <f>H43</f>
        <v>258.5625</v>
      </c>
      <c r="C36" s="24">
        <f>QUARTILE($B$5:$K$9,3)</f>
        <v>259.75</v>
      </c>
      <c r="D36" s="3" t="s">
        <v>66</v>
      </c>
      <c r="E36" s="3"/>
      <c r="F36" s="3"/>
      <c r="G36" s="3"/>
      <c r="H36" s="3"/>
    </row>
    <row r="37" spans="1:8" x14ac:dyDescent="0.3">
      <c r="A37" s="5" t="s">
        <v>67</v>
      </c>
    </row>
    <row r="39" spans="1:8" x14ac:dyDescent="0.3">
      <c r="A39" s="6" t="s">
        <v>68</v>
      </c>
    </row>
    <row r="40" spans="1:8" ht="31.5" customHeight="1" x14ac:dyDescent="0.3">
      <c r="A40" s="10" t="s">
        <v>24</v>
      </c>
      <c r="B40" s="10" t="s">
        <v>69</v>
      </c>
      <c r="C40" s="10" t="s">
        <v>70</v>
      </c>
      <c r="D40" s="10" t="s">
        <v>71</v>
      </c>
      <c r="E40" s="10" t="s">
        <v>72</v>
      </c>
      <c r="F40" s="10" t="s">
        <v>73</v>
      </c>
      <c r="G40" s="10" t="s">
        <v>74</v>
      </c>
      <c r="H40" s="10" t="s">
        <v>75</v>
      </c>
    </row>
    <row r="41" spans="1:8" x14ac:dyDescent="0.3">
      <c r="A41" s="19" t="s">
        <v>76</v>
      </c>
      <c r="B41" s="24">
        <v>0.25</v>
      </c>
      <c r="C41" s="27">
        <f>B41*$B$11</f>
        <v>12.5</v>
      </c>
      <c r="D41" s="12">
        <f>COUNTIF($H$19:$H$25,"&lt;"&amp;C41)+1</f>
        <v>2</v>
      </c>
      <c r="E41" s="26">
        <f>INDEX($C$19:$C$25,D41)</f>
        <v>83</v>
      </c>
      <c r="F41" s="12">
        <f>IF(D41=1,0,INDEX($H$19:$H$25,D41-1))</f>
        <v>6</v>
      </c>
      <c r="G41" s="12">
        <f>INDEX($F$19:$F$25,D41)</f>
        <v>10</v>
      </c>
      <c r="H41" s="29">
        <f>IFERROR(E41+$B$15*(C41-F41)/G41,0)</f>
        <v>117.45</v>
      </c>
    </row>
    <row r="42" spans="1:8" x14ac:dyDescent="0.3">
      <c r="A42" s="19" t="s">
        <v>77</v>
      </c>
      <c r="B42" s="24">
        <v>0.5</v>
      </c>
      <c r="C42" s="27">
        <f>B42*$B$11</f>
        <v>25</v>
      </c>
      <c r="D42" s="12">
        <f>COUNTIF($H$19:$H$25,"&lt;"&amp;C42)+1</f>
        <v>4</v>
      </c>
      <c r="E42" s="26">
        <f>INDEX($C$19:$C$25,D42)</f>
        <v>189</v>
      </c>
      <c r="F42" s="12">
        <f>IF(D42=1,0,INDEX($H$19:$H$25,D42-1))</f>
        <v>23</v>
      </c>
      <c r="G42" s="12">
        <f>INDEX($F$19:$F$25,D42)</f>
        <v>12</v>
      </c>
      <c r="H42" s="29">
        <f>IFERROR(E42+$B$15*(C42-F42)/G42,0)</f>
        <v>197.83333333333334</v>
      </c>
    </row>
    <row r="43" spans="1:8" x14ac:dyDescent="0.3">
      <c r="A43" s="19" t="s">
        <v>78</v>
      </c>
      <c r="B43" s="24">
        <v>0.75</v>
      </c>
      <c r="C43" s="27">
        <f>B43*$B$11</f>
        <v>37.5</v>
      </c>
      <c r="D43" s="12">
        <f>COUNTIF($H$19:$H$25,"&lt;"&amp;C43)+1</f>
        <v>5</v>
      </c>
      <c r="E43" s="26">
        <f>INDEX($C$19:$C$25,D43)</f>
        <v>242</v>
      </c>
      <c r="F43" s="12">
        <f>IF(D43=1,0,INDEX($H$19:$H$25,D43-1))</f>
        <v>35</v>
      </c>
      <c r="G43" s="12">
        <f>INDEX($F$19:$F$25,D43)</f>
        <v>8</v>
      </c>
      <c r="H43" s="29">
        <f>IFERROR(E43+$B$15*(C43-F43)/G43,0)</f>
        <v>258.5625</v>
      </c>
    </row>
    <row r="45" spans="1:8" ht="31.5" customHeight="1" x14ac:dyDescent="0.3">
      <c r="A45" s="10" t="s">
        <v>79</v>
      </c>
      <c r="B45" s="10" t="s">
        <v>80</v>
      </c>
      <c r="C45" s="10" t="s">
        <v>72</v>
      </c>
      <c r="D45" s="10" t="s">
        <v>81</v>
      </c>
      <c r="E45" s="10" t="s">
        <v>82</v>
      </c>
      <c r="F45" s="10" t="s">
        <v>83</v>
      </c>
      <c r="G45" s="10" t="s">
        <v>84</v>
      </c>
    </row>
    <row r="46" spans="1:8" x14ac:dyDescent="0.3">
      <c r="A46" s="19" t="s">
        <v>85</v>
      </c>
      <c r="B46" s="12">
        <f>MATCH(MAX($F$19:$F$25),$F$19:$F$25,0)</f>
        <v>4</v>
      </c>
      <c r="C46" s="26">
        <f>INDEX($C$19:$C$25,B46)</f>
        <v>189</v>
      </c>
      <c r="D46" s="12">
        <f>INDEX($F$19:$F$25,B46)</f>
        <v>12</v>
      </c>
      <c r="E46" s="12">
        <f>IF(B46=1,0,INDEX($F$19:$F$25,B46-1))</f>
        <v>7</v>
      </c>
      <c r="F46" s="12">
        <f>IF(B46=7,0,INDEX($F$19:$F$25,B46+1))</f>
        <v>8</v>
      </c>
      <c r="G46" s="29">
        <f>IFERROR(C46+$B$15*(D46-E46)/((D46-E46)+(D46-F46)),0)</f>
        <v>218.44444444444446</v>
      </c>
    </row>
    <row r="49" spans="1:8" x14ac:dyDescent="0.3">
      <c r="A49" s="6" t="s">
        <v>86</v>
      </c>
    </row>
    <row r="50" spans="1:8" ht="39.6" x14ac:dyDescent="0.3">
      <c r="A50" s="10" t="s">
        <v>24</v>
      </c>
      <c r="B50" s="10" t="s">
        <v>57</v>
      </c>
      <c r="C50" s="10" t="s">
        <v>26</v>
      </c>
      <c r="D50" s="10" t="s">
        <v>27</v>
      </c>
    </row>
    <row r="51" spans="1:8" ht="15" customHeight="1" x14ac:dyDescent="0.3">
      <c r="A51" s="19" t="s">
        <v>87</v>
      </c>
      <c r="B51" s="29">
        <f>J26/F26</f>
        <v>8737.1136000000006</v>
      </c>
      <c r="C51" s="24">
        <f>VARP($B$5:$K$9)</f>
        <v>9004.5635999999995</v>
      </c>
      <c r="D51" s="3" t="s">
        <v>88</v>
      </c>
      <c r="E51" s="3"/>
      <c r="F51" s="3"/>
      <c r="G51" s="3"/>
      <c r="H51" s="3"/>
    </row>
    <row r="52" spans="1:8" ht="23.85" customHeight="1" x14ac:dyDescent="0.3">
      <c r="A52" s="19" t="s">
        <v>89</v>
      </c>
      <c r="B52" s="29">
        <f>SQRT(B51)</f>
        <v>93.472528584606081</v>
      </c>
      <c r="C52" s="24">
        <f>STDEVP($B$5:$K$9)</f>
        <v>94.892379040679543</v>
      </c>
      <c r="D52" s="3" t="s">
        <v>90</v>
      </c>
      <c r="E52" s="3"/>
      <c r="F52" s="3"/>
      <c r="G52" s="3"/>
      <c r="H52" s="3"/>
    </row>
    <row r="53" spans="1:8" ht="15" customHeight="1" x14ac:dyDescent="0.3">
      <c r="A53" s="19" t="s">
        <v>91</v>
      </c>
      <c r="B53" s="30">
        <f>IFERROR(B52/B31,0)</f>
        <v>0.47588091123412118</v>
      </c>
      <c r="C53" s="13">
        <f>IFERROR(STDEVP($B$5:$K$9)/AVERAGE($B$5:$K$9),0)</f>
        <v>0.48767796813999148</v>
      </c>
      <c r="D53" s="3" t="s">
        <v>92</v>
      </c>
      <c r="E53" s="3"/>
      <c r="F53" s="3"/>
      <c r="G53" s="3"/>
      <c r="H53" s="3"/>
    </row>
    <row r="54" spans="1:8" ht="15" customHeight="1" x14ac:dyDescent="0.3">
      <c r="A54" s="19" t="s">
        <v>93</v>
      </c>
      <c r="B54" s="29">
        <f>B13-B12</f>
        <v>370</v>
      </c>
      <c r="C54" s="24">
        <f>MAX($B$5:$K$9)-MIN($B$5:$K$9)</f>
        <v>370</v>
      </c>
      <c r="D54" s="3" t="s">
        <v>94</v>
      </c>
      <c r="E54" s="3"/>
      <c r="F54" s="3"/>
      <c r="G54" s="3"/>
      <c r="H54" s="3"/>
    </row>
    <row r="55" spans="1:8" x14ac:dyDescent="0.3">
      <c r="A55" s="31" t="str">
        <f>IF(B53&lt;=0.33,"Вывод: V ≤ 33% → совокупность однородная, средняя типична","Вывод: V &gt; 33% → совокупность неоднородная, средняя нетипична")</f>
        <v>Вывод: V &gt; 33% → совокупность неоднородная, средняя нетипична</v>
      </c>
    </row>
  </sheetData>
  <mergeCells count="10">
    <mergeCell ref="D36:H36"/>
    <mergeCell ref="D51:H51"/>
    <mergeCell ref="D52:H52"/>
    <mergeCell ref="D53:H53"/>
    <mergeCell ref="D54:H54"/>
    <mergeCell ref="D31:H31"/>
    <mergeCell ref="D32:H32"/>
    <mergeCell ref="D33:H33"/>
    <mergeCell ref="D34:H34"/>
    <mergeCell ref="D35:H3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Normal="100" workbookViewId="0"/>
  </sheetViews>
  <sheetFormatPr defaultColWidth="8.6640625" defaultRowHeight="14.4" x14ac:dyDescent="0.3"/>
  <cols>
    <col min="1" max="1" width="18" customWidth="1"/>
    <col min="2" max="5" width="20" customWidth="1"/>
    <col min="6" max="6" width="18" customWidth="1"/>
    <col min="7" max="7" width="16" customWidth="1"/>
    <col min="8" max="8" width="3" customWidth="1"/>
  </cols>
  <sheetData>
    <row r="1" spans="1:6" ht="17.399999999999999" x14ac:dyDescent="0.3">
      <c r="A1" s="4" t="s">
        <v>95</v>
      </c>
    </row>
    <row r="2" spans="1:6" x14ac:dyDescent="0.3">
      <c r="A2" s="5" t="s">
        <v>1</v>
      </c>
    </row>
    <row r="4" spans="1:6" x14ac:dyDescent="0.3">
      <c r="A4" s="6" t="s">
        <v>2</v>
      </c>
    </row>
    <row r="5" spans="1:6" ht="31.5" customHeight="1" x14ac:dyDescent="0.3">
      <c r="A5" s="10" t="s">
        <v>96</v>
      </c>
      <c r="B5" s="10" t="s">
        <v>97</v>
      </c>
      <c r="C5" s="10" t="s">
        <v>98</v>
      </c>
      <c r="D5" s="10" t="s">
        <v>99</v>
      </c>
      <c r="E5" s="10" t="s">
        <v>100</v>
      </c>
    </row>
    <row r="6" spans="1:6" x14ac:dyDescent="0.3">
      <c r="A6" s="32" t="s">
        <v>101</v>
      </c>
      <c r="B6" s="33">
        <v>20</v>
      </c>
      <c r="C6" s="33">
        <v>18</v>
      </c>
      <c r="D6" s="33">
        <v>28.7</v>
      </c>
      <c r="E6" s="33">
        <v>28</v>
      </c>
    </row>
    <row r="7" spans="1:6" x14ac:dyDescent="0.3">
      <c r="A7" s="32" t="s">
        <v>102</v>
      </c>
      <c r="B7" s="33">
        <v>40</v>
      </c>
      <c r="C7" s="33">
        <v>42</v>
      </c>
      <c r="D7" s="33">
        <v>48</v>
      </c>
      <c r="E7" s="33">
        <v>49</v>
      </c>
    </row>
    <row r="8" spans="1:6" x14ac:dyDescent="0.3">
      <c r="A8" s="32" t="s">
        <v>103</v>
      </c>
      <c r="B8" s="33">
        <v>50</v>
      </c>
      <c r="C8" s="33">
        <v>55.4</v>
      </c>
      <c r="D8" s="33">
        <v>56</v>
      </c>
      <c r="E8" s="33">
        <v>57.9</v>
      </c>
    </row>
    <row r="9" spans="1:6" x14ac:dyDescent="0.3">
      <c r="A9" s="19" t="s">
        <v>17</v>
      </c>
      <c r="B9" s="28">
        <f>SUM(B6:B8)</f>
        <v>110</v>
      </c>
      <c r="C9" s="28">
        <f>SUM(C6:C8)</f>
        <v>115.4</v>
      </c>
      <c r="D9" s="28">
        <f>SUM(D6:D8)</f>
        <v>132.69999999999999</v>
      </c>
      <c r="E9" s="28">
        <f>SUM(E6:E8)</f>
        <v>134.9</v>
      </c>
    </row>
    <row r="11" spans="1:6" x14ac:dyDescent="0.3">
      <c r="A11" s="6" t="s">
        <v>104</v>
      </c>
    </row>
    <row r="12" spans="1:6" ht="57.75" customHeight="1" x14ac:dyDescent="0.3">
      <c r="A12" s="10" t="s">
        <v>105</v>
      </c>
      <c r="B12" s="10" t="s">
        <v>106</v>
      </c>
      <c r="C12" s="10" t="s">
        <v>107</v>
      </c>
      <c r="D12" s="10" t="s">
        <v>108</v>
      </c>
      <c r="E12" s="10" t="s">
        <v>109</v>
      </c>
      <c r="F12" s="10" t="s">
        <v>110</v>
      </c>
    </row>
    <row r="13" spans="1:6" x14ac:dyDescent="0.3">
      <c r="A13" s="22" t="str">
        <f>A6</f>
        <v>Овощи</v>
      </c>
      <c r="B13" s="24">
        <f>C6-B6</f>
        <v>-2</v>
      </c>
      <c r="C13" s="24">
        <f>E6-D6</f>
        <v>-0.69999999999999929</v>
      </c>
      <c r="D13" s="24">
        <f>D6-C6</f>
        <v>10.7</v>
      </c>
      <c r="E13" s="24">
        <f>E6-C6</f>
        <v>10</v>
      </c>
      <c r="F13" s="25" t="str">
        <f>IF(ABS(D13+C13-E13)&lt;0.000001,"OK","Ошибка")</f>
        <v>OK</v>
      </c>
    </row>
    <row r="14" spans="1:6" x14ac:dyDescent="0.3">
      <c r="A14" s="22" t="str">
        <f>A7</f>
        <v>Фрукты</v>
      </c>
      <c r="B14" s="24">
        <f>C7-B7</f>
        <v>2</v>
      </c>
      <c r="C14" s="24">
        <f>E7-D7</f>
        <v>1</v>
      </c>
      <c r="D14" s="24">
        <f>D7-C7</f>
        <v>6</v>
      </c>
      <c r="E14" s="24">
        <f>E7-C7</f>
        <v>7</v>
      </c>
      <c r="F14" s="25" t="str">
        <f>IF(ABS(D14+C14-E14)&lt;0.000001,"OK","Ошибка")</f>
        <v>OK</v>
      </c>
    </row>
    <row r="15" spans="1:6" x14ac:dyDescent="0.3">
      <c r="A15" s="22" t="str">
        <f>A8</f>
        <v>Виноград</v>
      </c>
      <c r="B15" s="24">
        <f>C8-B8</f>
        <v>5.3999999999999986</v>
      </c>
      <c r="C15" s="24">
        <f>E8-D8</f>
        <v>1.8999999999999986</v>
      </c>
      <c r="D15" s="24">
        <f>D8-C8</f>
        <v>0.60000000000000142</v>
      </c>
      <c r="E15" s="24">
        <f>E8-C8</f>
        <v>2.5</v>
      </c>
      <c r="F15" s="25" t="str">
        <f>IF(ABS(D15+C15-E15)&lt;0.000001,"OK","Ошибка")</f>
        <v>OK</v>
      </c>
    </row>
    <row r="16" spans="1:6" x14ac:dyDescent="0.3">
      <c r="A16" s="19" t="str">
        <f>A9</f>
        <v>Итого</v>
      </c>
      <c r="B16" s="34">
        <f>C9-B9</f>
        <v>5.4000000000000057</v>
      </c>
      <c r="C16" s="34">
        <f>E9-D9</f>
        <v>2.2000000000000171</v>
      </c>
      <c r="D16" s="34">
        <f>D9-C9</f>
        <v>17.299999999999983</v>
      </c>
      <c r="E16" s="34">
        <f>E9-C9</f>
        <v>19.5</v>
      </c>
      <c r="F16" s="7" t="str">
        <f>IF(ABS(D16+C16-E16)&lt;0.000001,"OK","Ошибка")</f>
        <v>OK</v>
      </c>
    </row>
    <row r="18" spans="1:7" x14ac:dyDescent="0.3">
      <c r="A18" s="6" t="s">
        <v>111</v>
      </c>
    </row>
    <row r="19" spans="1:7" ht="57.75" customHeight="1" x14ac:dyDescent="0.3">
      <c r="A19" s="10" t="s">
        <v>105</v>
      </c>
      <c r="B19" s="10" t="s">
        <v>112</v>
      </c>
      <c r="C19" s="10" t="s">
        <v>113</v>
      </c>
      <c r="D19" s="10" t="s">
        <v>114</v>
      </c>
      <c r="E19" s="10" t="s">
        <v>115</v>
      </c>
      <c r="F19" s="10" t="s">
        <v>116</v>
      </c>
      <c r="G19" s="10" t="s">
        <v>117</v>
      </c>
    </row>
    <row r="20" spans="1:7" x14ac:dyDescent="0.3">
      <c r="A20" s="22" t="str">
        <f>A6</f>
        <v>Овощи</v>
      </c>
      <c r="B20" s="13">
        <f>IFERROR(C6/B6,0)</f>
        <v>0.9</v>
      </c>
      <c r="C20" s="13">
        <f>IFERROR(E6/D6,0)</f>
        <v>0.97560975609756095</v>
      </c>
      <c r="D20" s="13">
        <f>IFERROR(D6/C6,0)</f>
        <v>1.5944444444444443</v>
      </c>
      <c r="E20" s="13">
        <f>IFERROR(E6/C6,0)</f>
        <v>1.5555555555555556</v>
      </c>
      <c r="F20" s="13">
        <f>E20-1</f>
        <v>0.55555555555555558</v>
      </c>
      <c r="G20" s="25" t="str">
        <f>IF(ABS(D20*C20-E20)&lt;0.000001,"OK","Ошибка")</f>
        <v>OK</v>
      </c>
    </row>
    <row r="21" spans="1:7" x14ac:dyDescent="0.3">
      <c r="A21" s="22" t="str">
        <f>A7</f>
        <v>Фрукты</v>
      </c>
      <c r="B21" s="13">
        <f>IFERROR(C7/B7,0)</f>
        <v>1.05</v>
      </c>
      <c r="C21" s="13">
        <f>IFERROR(E7/D7,0)</f>
        <v>1.0208333333333333</v>
      </c>
      <c r="D21" s="13">
        <f>IFERROR(D7/C7,0)</f>
        <v>1.1428571428571428</v>
      </c>
      <c r="E21" s="13">
        <f>IFERROR(E7/C7,0)</f>
        <v>1.1666666666666667</v>
      </c>
      <c r="F21" s="13">
        <f>E21-1</f>
        <v>0.16666666666666674</v>
      </c>
      <c r="G21" s="25" t="str">
        <f>IF(ABS(D21*C21-E21)&lt;0.000001,"OK","Ошибка")</f>
        <v>OK</v>
      </c>
    </row>
    <row r="22" spans="1:7" x14ac:dyDescent="0.3">
      <c r="A22" s="22" t="str">
        <f>A8</f>
        <v>Виноград</v>
      </c>
      <c r="B22" s="13">
        <f>IFERROR(C8/B8,0)</f>
        <v>1.1079999999999999</v>
      </c>
      <c r="C22" s="13">
        <f>IFERROR(E8/D8,0)</f>
        <v>1.0339285714285713</v>
      </c>
      <c r="D22" s="13">
        <f>IFERROR(D8/C8,0)</f>
        <v>1.0108303249097472</v>
      </c>
      <c r="E22" s="13">
        <f>IFERROR(E8/C8,0)</f>
        <v>1.0451263537906137</v>
      </c>
      <c r="F22" s="13">
        <f>E22-1</f>
        <v>4.5126353790613694E-2</v>
      </c>
      <c r="G22" s="25" t="str">
        <f>IF(ABS(D22*C22-E22)&lt;0.000001,"OK","Ошибка")</f>
        <v>OK</v>
      </c>
    </row>
    <row r="23" spans="1:7" x14ac:dyDescent="0.3">
      <c r="A23" s="19" t="str">
        <f>A9</f>
        <v>Итого</v>
      </c>
      <c r="B23" s="16">
        <f>IFERROR(C9/B9,0)</f>
        <v>1.0490909090909091</v>
      </c>
      <c r="C23" s="16">
        <f>IFERROR(E9/D9,0)</f>
        <v>1.0165787490580258</v>
      </c>
      <c r="D23" s="16">
        <f>IFERROR(D9/C9,0)</f>
        <v>1.1499133448873482</v>
      </c>
      <c r="E23" s="16">
        <f>IFERROR(E9/C9,0)</f>
        <v>1.1689774696707105</v>
      </c>
      <c r="F23" s="16">
        <f>E23-1</f>
        <v>0.16897746967071048</v>
      </c>
      <c r="G23" s="7" t="str">
        <f>IF(ABS(D23*C23-E23)&lt;0.000001,"OK","Ошибка")</f>
        <v>OK</v>
      </c>
    </row>
    <row r="25" spans="1:7" x14ac:dyDescent="0.3">
      <c r="A25" s="6" t="s">
        <v>118</v>
      </c>
    </row>
    <row r="26" spans="1:7" ht="48" customHeight="1" x14ac:dyDescent="0.3">
      <c r="A26" s="2" t="str">
        <f>"• "&amp;A6&amp;": план текущего периода "&amp;IF(B20&gt;=1,"выполнен","не выполнен")&amp;" ("&amp;ROUND(B20*100,1)&amp;"%; отклонение "&amp;IF(B13&gt;=0,"+","")&amp;ROUND(B13,2)&amp;" тыс. т), в следующем периоде – "&amp;IF(C20&gt;=1,"выполнен","не выполнен")&amp;" ("&amp;ROUND(C20*100,1)&amp;"%; отклонение "&amp;IF(C13&gt;=0,"+","")&amp;ROUND(C13,2)&amp;" тыс. т). По сравнению с текущим периодом фактическое производство "&amp;IF(E13&gt;=0,"выросло","снизилось")&amp;" на "&amp;ROUND(ABS(E13),2)&amp;" тыс. т ("&amp;ROUND(ABS(F20)*100,1)&amp;"%), при этом планом предусматривался "&amp;IF(D13&gt;=0,"рост","спад")&amp;" на "&amp;ROUND(ABS(D13),2)&amp;" тыс. т ("&amp;ROUND(ABS(D20-1)*100,1)&amp;"%)."</f>
        <v>• Овощи: план текущего периода не выполнен (90%; отклонение -2 тыс. т), в следующем периоде – не выполнен (97,6%; отклонение -0,7 тыс. т). По сравнению с текущим периодом фактическое производство выросло на 10 тыс. т (55,6%), при этом планом предусматривался рост на 10,7 тыс. т (59,4%).</v>
      </c>
      <c r="B26" s="2"/>
      <c r="C26" s="2"/>
      <c r="D26" s="2"/>
      <c r="E26" s="2"/>
      <c r="F26" s="2"/>
      <c r="G26" s="2"/>
    </row>
    <row r="27" spans="1:7" ht="48" customHeight="1" x14ac:dyDescent="0.3">
      <c r="A27" s="2" t="str">
        <f>"• "&amp;A7&amp;": план текущего периода "&amp;IF(B21&gt;=1,"выполнен","не выполнен")&amp;" ("&amp;ROUND(B21*100,1)&amp;"%; отклонение "&amp;IF(B14&gt;=0,"+","")&amp;ROUND(B14,2)&amp;" тыс. т), в следующем периоде – "&amp;IF(C21&gt;=1,"выполнен","не выполнен")&amp;" ("&amp;ROUND(C21*100,1)&amp;"%; отклонение "&amp;IF(C14&gt;=0,"+","")&amp;ROUND(C14,2)&amp;" тыс. т). По сравнению с текущим периодом фактическое производство "&amp;IF(E14&gt;=0,"выросло","снизилось")&amp;" на "&amp;ROUND(ABS(E14),2)&amp;" тыс. т ("&amp;ROUND(ABS(F21)*100,1)&amp;"%), при этом планом предусматривался "&amp;IF(D14&gt;=0,"рост","спад")&amp;" на "&amp;ROUND(ABS(D14),2)&amp;" тыс. т ("&amp;ROUND(ABS(D21-1)*100,1)&amp;"%)."</f>
        <v>• Фрукты: план текущего периода выполнен (105%; отклонение +2 тыс. т), в следующем периоде – выполнен (102,1%; отклонение +1 тыс. т). По сравнению с текущим периодом фактическое производство выросло на 7 тыс. т (16,7%), при этом планом предусматривался рост на 6 тыс. т (14,3%).</v>
      </c>
      <c r="B27" s="2"/>
      <c r="C27" s="2"/>
      <c r="D27" s="2"/>
      <c r="E27" s="2"/>
      <c r="F27" s="2"/>
      <c r="G27" s="2"/>
    </row>
    <row r="28" spans="1:7" ht="48" customHeight="1" x14ac:dyDescent="0.3">
      <c r="A28" s="2" t="str">
        <f>"• "&amp;A8&amp;": план текущего периода "&amp;IF(B22&gt;=1,"выполнен","не выполнен")&amp;" ("&amp;ROUND(B22*100,1)&amp;"%; отклонение "&amp;IF(B15&gt;=0,"+","")&amp;ROUND(B15,2)&amp;" тыс. т), в следующем периоде – "&amp;IF(C22&gt;=1,"выполнен","не выполнен")&amp;" ("&amp;ROUND(C22*100,1)&amp;"%; отклонение "&amp;IF(C15&gt;=0,"+","")&amp;ROUND(C15,2)&amp;" тыс. т). По сравнению с текущим периодом фактическое производство "&amp;IF(E15&gt;=0,"выросло","снизилось")&amp;" на "&amp;ROUND(ABS(E15),2)&amp;" тыс. т ("&amp;ROUND(ABS(F22)*100,1)&amp;"%), при этом планом предусматривался "&amp;IF(D15&gt;=0,"рост","спад")&amp;" на "&amp;ROUND(ABS(D15),2)&amp;" тыс. т ("&amp;ROUND(ABS(D22-1)*100,1)&amp;"%)."</f>
        <v>• Виноград: план текущего периода выполнен (110,8%; отклонение +5,4 тыс. т), в следующем периоде – выполнен (103,4%; отклонение +1,9 тыс. т). По сравнению с текущим периодом фактическое производство выросло на 2,5 тыс. т (4,5%), при этом планом предусматривался рост на 0,6 тыс. т (1,1%).</v>
      </c>
      <c r="B28" s="2"/>
      <c r="C28" s="2"/>
      <c r="D28" s="2"/>
      <c r="E28" s="2"/>
      <c r="F28" s="2"/>
      <c r="G28" s="2"/>
    </row>
    <row r="29" spans="1:7" ht="48" customHeight="1" x14ac:dyDescent="0.3">
      <c r="A29" s="1" t="str">
        <f>"• "&amp;A9&amp;": план текущего периода "&amp;IF(B23&gt;=1,"выполнен","не выполнен")&amp;" ("&amp;ROUND(B23*100,1)&amp;"%; отклонение "&amp;IF(B16&gt;=0,"+","")&amp;ROUND(B16,2)&amp;" тыс. т), в следующем периоде – "&amp;IF(C23&gt;=1,"выполнен","не выполнен")&amp;" ("&amp;ROUND(C23*100,1)&amp;"%; отклонение "&amp;IF(C16&gt;=0,"+","")&amp;ROUND(C16,2)&amp;" тыс. т). По сравнению с текущим периодом фактическое производство "&amp;IF(E16&gt;=0,"выросло","снизилось")&amp;" на "&amp;ROUND(ABS(E16),2)&amp;" тыс. т ("&amp;ROUND(ABS(F23)*100,1)&amp;"%), при этом планом предусматривался "&amp;IF(D16&gt;=0,"рост","спад")&amp;" на "&amp;ROUND(ABS(D16),2)&amp;" тыс. т ("&amp;ROUND(ABS(D23-1)*100,1)&amp;"%)."</f>
        <v>• Итого: план текущего периода выполнен (104,9%; отклонение +5,4 тыс. т), в следующем периоде – выполнен (101,7%; отклонение +2,2 тыс. т). По сравнению с текущим периодом фактическое производство выросло на 19,5 тыс. т (16,9%), при этом планом предусматривался рост на 17,3 тыс. т (15%).</v>
      </c>
      <c r="B29" s="1"/>
      <c r="C29" s="1"/>
      <c r="D29" s="1"/>
      <c r="E29" s="1"/>
      <c r="F29" s="1"/>
      <c r="G29" s="1"/>
    </row>
  </sheetData>
  <mergeCells count="4">
    <mergeCell ref="A26:G26"/>
    <mergeCell ref="A27:G27"/>
    <mergeCell ref="A28:G28"/>
    <mergeCell ref="A29:G2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I</vt:lpstr>
      <vt:lpstr>Задание II</vt:lpstr>
      <vt:lpstr>Задание III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комп</cp:lastModifiedBy>
  <cp:revision>1</cp:revision>
  <dcterms:created xsi:type="dcterms:W3CDTF">2026-10-22T19:36:45Z</dcterms:created>
  <dcterms:modified xsi:type="dcterms:W3CDTF">2026-10-22T19:40:11Z</dcterms:modified>
  <dc:language>en-US</dc:language>
</cp:coreProperties>
</file>